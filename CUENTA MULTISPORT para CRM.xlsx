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2020" sheetId="2" r:id="rId5"/>
    <sheet state="visible" name="2021" sheetId="3" r:id="rId6"/>
    <sheet state="visible" name="2022" sheetId="4" r:id="rId7"/>
    <sheet state="visible" name="2023" sheetId="5" r:id="rId8"/>
    <sheet state="visible" name="2024" sheetId="6" r:id="rId9"/>
    <sheet state="visible" name="PROMEDIO AÑOS" sheetId="7" r:id="rId10"/>
    <sheet state="visible" name="CARLOS 2025" sheetId="8" r:id="rId11"/>
    <sheet state="visible" name="CARLOS 2026" sheetId="9" r:id="rId12"/>
    <sheet state="visible" name="ALEJANDRO 2026" sheetId="10" r:id="rId13"/>
    <sheet state="visible" name="ALEJANDROEVELYN 2025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tc={0bf60816-faaf-4130-b85b-543be9e339e5}</author>
    <author>tc={6ea5a972-e2b4-48fd-b688-a2982aa9963f}</author>
    <author>tc={bf771ac4-bfe4-4229-8a29-0ea5aed0e4fe}</author>
    <author>tc={f10772f1-e98f-484b-accb-a1a62fb88cd0}</author>
  </authors>
  <commentList>
    <comment authorId="0" xr:uid="{0bf60816-faaf-4130-b85b-543be9e339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efectivo para camiseta terret
</t>
      </text>
    </comment>
    <comment authorId="1" xr:uid="{6ea5a972-e2b4-48fd-b688-a2982aa996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Bike Fitting Mendoza 250
Tennis nike 600
</t>
      </text>
    </comment>
    <comment authorId="2" xr:uid="{bf771ac4-bfe4-4229-8a29-0ea5aed0e4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bike fitting + tenis nike
</t>
      </text>
    </comment>
    <comment authorId="3" xr:uid="{f10772f1-e98f-484b-accb-a1a62fb88c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Venta Tenis Nike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tc={09cb50a3-459b-41b0-820f-0801c89ccf5f}</author>
    <author>tc={0b00bec3-071c-4a03-a53d-fe163c90166b}</author>
    <author>tc={5e9b8baf-7214-4145-a879-776155915b30}</author>
    <author>tc={5efb935f-26cf-41cc-b2a7-f2a512dcd879}</author>
    <author>tc={69bd211e-6f48-421f-8e14-f0da8b546ffc}</author>
    <author>tc={6a70905a-e963-4ebc-9ae9-f9dcbe42fde0}</author>
    <author>tc={a04bf398-8684-4de6-81dd-1a76fba56dc8}</author>
    <author>tc={b78fe95d-aaee-4acf-8f97-e98071b861ec}</author>
    <author>tc={ef366924-5e11-48a2-bd48-28abe3d9a83b}</author>
    <author>tc={f428c972-9dbe-4117-9b0d-866dbc3f8e07}</author>
  </authors>
  <commentList>
    <comment authorId="0" xr:uid="{09cb50a3-459b-41b0-820f-0801c89ccf5f}" ref="M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camisetas de Regalo Chicos
</t>
      </text>
    </comment>
    <comment authorId="1" xr:uid="{0b00bec3-071c-4a03-a53d-fe163c90166b}" ref="F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Bravini y Jorge Vargas
</t>
      </text>
    </comment>
    <comment authorId="2" xr:uid="{5e9b8baf-7214-4145-a879-776155915b30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 debia de envio a miami de componentes
</t>
      </text>
    </comment>
    <comment authorId="3" xr:uid="{5efb935f-26cf-41cc-b2a7-f2a512dcd879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referidos Ryan
</t>
      </text>
    </comment>
    <comment authorId="4" xr:uid="{69bd211e-6f48-421f-8e14-f0da8b546ffc}" ref="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Bravini 
Jorge Vargas
</t>
      </text>
    </comment>
    <comment authorId="5" xr:uid="{6a70905a-e963-4ebc-9ae9-f9dcbe42fde0}" ref="E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atletas a distancia
</t>
      </text>
    </comment>
    <comment authorId="6" xr:uid="{a04bf398-8684-4de6-81dd-1a76fba56dc8}" ref="G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Jorge Vargas 
Jose Bravini
Alejandro Herrera
</t>
      </text>
    </comment>
    <comment authorId="7" xr:uid="{b78fe95d-aaee-4acf-8f97-e98071b861ec}" ref="D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triatletas a distancia
</t>
      </text>
    </comment>
    <comment authorId="8" xr:uid="{ef366924-5e11-48a2-bd48-28abe3d9a83b}" ref="L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inicial página web 224.000
Trajes de baño 860.000
</t>
      </text>
    </comment>
    <comment authorId="9" xr:uid="{f428c972-9dbe-4117-9b0d-866dbc3f8e07}" ref="D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CARLOS MARZO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tc={152d707a-3ad4-4c9a-8efc-749895c16dc1}</author>
    <author>tc={267f21aa-1eb5-4162-a3a8-17dcb8bbe77f}</author>
    <author>tc={839009ca-2e9d-49fd-824d-56864d1969b2}</author>
    <author>tc={abc2f501-1cc3-4595-abea-d8f79f950c5b}</author>
    <author>tc={e7311039-338c-42b5-a963-ccf2429ef5a1}</author>
    <author>tc={ed4d3c9d-6829-497b-963d-5fab42baa89d}</author>
    <author>tc={f499a6bb-692c-446b-b3c3-8216b5cc6983}</author>
  </authors>
  <commentList>
    <comment authorId="0" ref="G102">
      <text>
        <t xml:space="preserve">160 redes 
225 curso VCT</t>
      </text>
    </comment>
    <comment authorId="0" ref="J116">
      <text>
        <t xml:space="preserve">+75000 de Pedro Jaramillo de mes pasado para Eva 
 </t>
      </text>
    </comment>
    <comment authorId="1" xr:uid="{152d707a-3ad4-4c9a-8efc-749895c16dc1}" ref="B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página web mitad 650.000
Inscripción a la liga 500.000
</t>
      </text>
    </comment>
    <comment authorId="2" xr:uid="{267f21aa-1eb5-4162-a3a8-17dcb8bbe77f}" ref="M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160 redes
65 optimizacion pagina web
</t>
      </text>
    </comment>
    <comment authorId="3" xr:uid="{839009ca-2e9d-49fd-824d-56864d1969b2}" ref="K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lo pague a Carlos pero empezó en noviembre
</t>
      </text>
    </comment>
    <comment authorId="4" xr:uid="{abc2f501-1cc3-4595-abea-d8f79f950c5b}" ref="D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Manejo Redes
</t>
      </text>
    </comment>
    <comment authorId="5" xr:uid="{e7311039-338c-42b5-a963-ccf2429ef5a1}" ref="L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350.000 pero se desconto 93.000 porque el mes pasado se los conte a Carlos y Jorge empezo el 01 noviembre
</t>
      </text>
    </comment>
    <comment authorId="6" xr:uid="{ed4d3c9d-6829-497b-963d-5fab42baa89d}" ref="C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Manejo Redes
</t>
      </text>
    </comment>
    <comment authorId="7" xr:uid="{f499a6bb-692c-446b-b3c3-8216b5cc6983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160000 Redes
250000 Activacion anual pagina web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tc={15b4d428-9f68-4e6d-90d7-19d818b77456}</author>
    <author>tc={18c04c01-0db5-4253-b09d-d2c55d26209e}</author>
    <author>tc={345b9bdd-8dda-4182-a9db-ac075fe4cf6e}</author>
    <author>tc={37a83177-2c28-43a7-80ab-49d7fdbb1881}</author>
    <author>tc={4801d928-874f-454a-adda-0e6da7edd68b}</author>
    <author>tc={4b22c8d9-fe9d-44a0-bd23-33c26b22ce76}</author>
    <author>tc={57306d9f-da2f-4633-b345-a777af6367fd}</author>
    <author>tc={6982342b-abaf-4d0a-bc9d-9b7236612e68}</author>
    <author>tc={766ef446-07d4-4dac-92d3-7155f8d3aac0}</author>
    <author>tc={82b20756-a5c3-47d4-82b9-7f233f5a8817}</author>
    <author>tc={8c4d68a5-750e-43a0-a70b-4a03e01e60d0}</author>
    <author>tc={a1cd655c-ca75-498f-83bc-f29f0f48ed69}</author>
    <author>tc={a2211b04-dbbd-4bc6-b1e4-1cc3848ce6e6}</author>
    <author>tc={b06ecb86-65cf-4314-8972-49b3ab516c96}</author>
    <author>tc={b85f192d-6713-479c-9618-a624f2b3bda1}</author>
    <author>tc={c0770e4d-7347-4f49-981f-2ab603113972}</author>
    <author>tc={c096b274-235c-4294-98cd-0d9f465180b4}</author>
    <author>tc={cf487b40-59ec-4f25-89e8-bfc69c82bd0c}</author>
    <author>tc={eb772ea1-84f5-40af-9fd2-e2f96ef47698}</author>
    <author>tc={f122994e-0fc6-4a36-ac80-7c7669612e4b}</author>
    <author>tc={f7a1a97d-c64d-41fe-b04b-b4365f4d0e2e}</author>
    <author>tc={ff6d924a-2600-47f6-b776-a32a708f23f8}</author>
  </authors>
  <commentList>
    <comment authorId="0" ref="D149">
      <text>
        <t xml:space="preserve">1'485.000 Boddytech
100.000 Aeroparque
</t>
      </text>
    </comment>
    <comment authorId="0" ref="H168">
      <text>
        <t xml:space="preserve">isa mes -natacion Cabrera</t>
      </text>
    </comment>
    <comment authorId="1" xr:uid="{15b4d428-9f68-4e6d-90d7-19d818b77456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 PASADO PAGO X2
</t>
      </text>
    </comment>
    <comment authorId="2" xr:uid="{18c04c01-0db5-4253-b09d-d2c55d26209e}" ref="K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150000 Andrea Fuerza
Reply:
	86000 Dominio web
Reply:
	228000 BANAHOST
</t>
      </text>
    </comment>
    <comment authorId="3" xr:uid="{345b9bdd-8dda-4182-a9db-ac075fe4cf6e}" ref="K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250000 bike fitting Dario Velasquez
Reply:
	250000 bike fitting Nereo
Reply:
	150.000 manillar
</t>
      </text>
    </comment>
    <comment authorId="4" xr:uid="{37a83177-2c28-43a7-80ab-49d7fdbb1881}" ref="F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plan referidos por Cifuentes runner 280.000
</t>
      </text>
    </comment>
    <comment authorId="5" xr:uid="{4801d928-874f-454a-adda-0e6da7edd68b}" ref="L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Andrea Fuerza
</t>
      </text>
    </comment>
    <comment authorId="6" xr:uid="{4b22c8d9-fe9d-44a0-bd23-33c26b22ce76}" ref="C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REFERIO ATLETA NO SE COBRO
</t>
      </text>
    </comment>
    <comment authorId="7" xr:uid="{57306d9f-da2f-4633-b345-a777af6367fd}" ref="J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250.000
Bike Fitting Santi Velasquez
Reply:
	400.000 Pago Nike
Reply:
	250.000 bike fitting Sara
Reply:
	400.000 pago adidas Lore
</t>
      </text>
    </comment>
    <comment authorId="8" xr:uid="{6982342b-abaf-4d0a-bc9d-9b7236612e68}" ref="I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Andrea Fuerza 150
Redes 160
Sergio Giraldo 300
jersey mendoza 220
</t>
      </text>
    </comment>
    <comment authorId="9" xr:uid="{766ef446-07d4-4dac-92d3-7155f8d3aac0}" ref="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PASADO PAGO X2
</t>
      </text>
    </comment>
    <comment authorId="10" xr:uid="{82b20756-a5c3-47d4-82b9-7f233f5a8817}" ref="B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160 redes
150 Andrea Fuerza
325 pago anual liga tri
</t>
      </text>
    </comment>
    <comment authorId="11" xr:uid="{8c4d68a5-750e-43a0-a70b-4a03e01e60d0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* 825.000 soft bottles 50x16.500
* 360.000 porta herramientas 20x18.000
* 150.000 profe fuerza 
* 160.000 Luz Redes
</t>
      </text>
    </comment>
    <comment authorId="12" xr:uid="{a1cd655c-ca75-498f-83bc-f29f0f48ed69}" ref="M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150.000 Andrea Fuerza 
150.000 Evelyn Redes
</t>
      </text>
    </comment>
    <comment authorId="13" xr:uid="{a2211b04-dbbd-4bc6-b1e4-1cc3848ce6e6}" ref="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PASADO PAGO X2
</t>
      </text>
    </comment>
    <comment authorId="14" xr:uid="{b06ecb86-65cf-4314-8972-49b3ab516c96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PASADO PAGO X2
</t>
      </text>
    </comment>
    <comment authorId="15" xr:uid="{b85f192d-6713-479c-9618-a624f2b3bda1}" ref="M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Tenis nike Simon
</t>
      </text>
    </comment>
    <comment authorId="16" xr:uid="{c0770e4d-7347-4f49-981f-2ab603113972}" ref="E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REFIRIO UN ATLETA
</t>
      </text>
    </comment>
    <comment authorId="17" xr:uid="{c096b274-235c-4294-98cd-0d9f465180b4}" ref="F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bike fittings
</t>
      </text>
    </comment>
    <comment authorId="18" xr:uid="{cf487b40-59ec-4f25-89e8-bfc69c82bd0c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PASADO PAGO X2
</t>
      </text>
    </comment>
    <comment authorId="19" xr:uid="{eb772ea1-84f5-40af-9fd2-e2f96ef47698}" ref="I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750.000 bike fitting Mauro
Reply:
	1'500.000 tenis nike
Reply:
	1 cuota tenis adidas 405000
</t>
      </text>
    </comment>
    <comment authorId="20" xr:uid="{f122994e-0fc6-4a36-ac80-7c7669612e4b}" ref="C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 Andrea Fuerza 
160 Luz Rdes
</t>
      </text>
    </comment>
    <comment authorId="21" xr:uid="{f7a1a97d-c64d-41fe-b04b-b4365f4d0e2e}" ref="L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350.000 bike fitting Vanessa
750.000 Garmin
450.000 Wahoo rival utilidad
Reply:
	600.000 pago Nike
Reply:
	250.000 bike fitting Carlos Mendoza
Reply:
	1'000.000 tenis nike Simon
Reply:
	400.000 bike fitting Santiago Diez
</t>
      </text>
    </comment>
    <comment authorId="22" xr:uid="{ff6d924a-2600-47f6-b776-a32a708f23f8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PASADO PAGO X2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tc={0ae92b37-12f9-4a6a-8a81-bc1d62e7c1cf}</author>
    <author>tc={1eb94761-7454-450b-a25c-ce986846b5fa}</author>
    <author>tc={23d37a71-7f82-437d-8901-4b8b1f44b8ec}</author>
    <author>tc={26afdbb4-9c52-4307-abb6-ede1ce635c9f}</author>
    <author>tc={2b8b2558-ba94-4ce7-8bb4-3d8d8aaebc20}</author>
    <author>tc={323e6e98-1969-4170-8985-5ece3639219f}</author>
    <author>tc={384f1744-d8d9-4e77-b49f-0fd594109ee6}</author>
    <author>tc={5781cfe9-498f-40a8-905b-dfc9f4fa910e}</author>
    <author>tc={6525bae8-573d-4f77-8077-39f82c8f07ad}</author>
    <author>tc={694d3cd0-d478-496f-8678-2c7685dbe215}</author>
    <author>tc={7bc00ce1-6c89-4ddd-9a47-d2c3c000d773}</author>
    <author>tc={897c1e90-52e2-4a9d-9586-beeb7560109c}</author>
    <author>tc={acce83d1-397e-4ded-8bf0-813809a63516}</author>
    <author>tc={bd25e8d2-da1c-4bd7-97b7-85791707056d}</author>
    <author>tc={bdfbdb60-0514-4880-9f62-2f700310dbd0}</author>
    <author>tc={c0ea0364-43bb-492d-87f5-70ad9b19c13a}</author>
    <author>tc={e58c3985-43ef-4b10-9f0f-1744fdc3f5e8}</author>
    <author>tc={e9265d5e-e1e6-4ed0-9805-b448599666f5}</author>
    <author>tc={eed3252a-143b-4278-984b-d4f75d096eea}</author>
    <author>tc={fae9bb22-01ef-48c1-be77-7e5e17d557cc}</author>
  </authors>
  <commentList>
    <comment authorId="0" xr:uid="{0ae92b37-12f9-4a6a-8a81-bc1d62e7c1cf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banahost pagina web
</t>
      </text>
    </comment>
    <comment authorId="1" xr:uid="{1eb94761-7454-450b-a25c-ce986846b5fa}" ref="V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FAVOR DE ALEJANDRO
</t>
      </text>
    </comment>
    <comment authorId="2" xr:uid="{23d37a71-7f82-437d-8901-4b8b1f44b8ec}" ref="A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apuntados en dinero que entra a Alejo
</t>
      </text>
    </comment>
    <comment authorId="3" xr:uid="{26afdbb4-9c52-4307-abb6-ede1ce635c9f}" ref="J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Premio Sara Maraton Medellin
</t>
      </text>
    </comment>
    <comment authorId="4" xr:uid="{2b8b2558-ba94-4ce7-8bb4-3d8d8aaebc20}" ref="F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2'470 Triatletas y Master 
260 mitad  Evelyn
</t>
      </text>
    </comment>
    <comment authorId="5" xr:uid="{323e6e98-1969-4170-8985-5ece3639219f}" ref="C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Liga de triatlon
</t>
      </text>
    </comment>
    <comment authorId="6" xr:uid="{384f1744-d8d9-4e77-b49f-0fd594109ee6}" ref="M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Restante para cuadre de año
</t>
      </text>
    </comment>
    <comment authorId="7" xr:uid="{5781cfe9-498f-40a8-905b-dfc9f4fa910e}" ref="C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2'340.000 piscinas Alejo y Carlos
504/3=168x2=336000 piscina evelyn
=2'676.000 Carlos y Alejandro Total
</t>
      </text>
    </comment>
    <comment authorId="8" xr:uid="{6525bae8-573d-4f77-8077-39f82c8f07ad}" ref="E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2'470 nadadores Alejo 
433 Nadadores Evelyn
</t>
      </text>
    </comment>
    <comment authorId="9" xr:uid="{694d3cd0-d478-496f-8678-2c7685dbe215}" ref="J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2'860 tri y master
260 Evelyn
</t>
      </text>
    </comment>
    <comment authorId="10" xr:uid="{7bc00ce1-6c89-4ddd-9a47-d2c3c000d773}" ref="D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70.000 adecuacion pagina web
Reply:
	60.000 Actualizacion elementor en web
Reply:
	143.700 gorras de regalo
</t>
      </text>
    </comment>
    <comment authorId="11" xr:uid="{897c1e90-52e2-4a9d-9586-beeb7560109c}" ref="B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Plan Anual 
1.180 USD
</t>
      </text>
    </comment>
    <comment authorId="12" xr:uid="{acce83d1-397e-4ded-8bf0-813809a63516}" ref="B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MES FUE PAGO DE NADADORES DE CARLOS A ALEJO, LOS SIGUIENTES SERÁN A EVELYN
</t>
      </text>
    </comment>
    <comment authorId="13" xr:uid="{bd25e8d2-da1c-4bd7-97b7-85791707056d}" ref="H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2600 alejo y carlos 
455 evelyn /2
</t>
      </text>
    </comment>
    <comment authorId="14" xr:uid="{bdfbdb60-0514-4880-9f62-2f700310dbd0}" ref="C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honorarios de nadadores Evelyn - gastos de atletas que ella entrena
</t>
      </text>
    </comment>
    <comment authorId="15" xr:uid="{c0ea0364-43bb-492d-87f5-70ad9b19c13a}" ref="G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2'2750.000 Alejo y Carlos 
260.000 Piscina Evelyn
</t>
      </text>
    </comment>
    <comment authorId="16" xr:uid="{e58c3985-43ef-4b10-9f0f-1744fdc3f5e8}" ref="M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Sumatoria con los Atletas de Eve que pagaron en diciembre
</t>
      </text>
    </comment>
    <comment authorId="17" xr:uid="{e9265d5e-e1e6-4ed0-9805-b448599666f5}" ref="L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2'340.000 Alejo
162.500 Evelyn
</t>
      </text>
    </comment>
    <comment authorId="18" xr:uid="{eed3252a-143b-4278-984b-d4f75d096eea}" ref="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 7 dias del mes pasado
</t>
      </text>
    </comment>
    <comment authorId="19" xr:uid="{fae9bb22-01ef-48c1-be77-7e5e17d557cc}" ref="I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2'210 Tri y master
260 Evelyn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tc={398f235f-82c1-441b-b629-411489e87eff}</author>
    <author>tc={490ef4e8-a1eb-46c3-9e64-37568fec1a09}</author>
  </authors>
  <commentList>
    <comment authorId="0" xr:uid="{398f235f-82c1-441b-b629-411489e87eff}" ref="C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refirio a Sebastian Torres para Alejandro
</t>
      </text>
    </comment>
    <comment authorId="1" xr:uid="{490ef4e8-a1eb-46c3-9e64-37568fec1a09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Congelo plan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tc={594e1bd6-f7aa-4c06-8bfe-2fd173d9c9c5}</author>
    <author>tc={a3508994-48d3-4f4b-801d-66da1dbfd38f}</author>
    <author>tc={c486d1f1-73eb-4f1b-bbb4-e2ee36567f7e}</author>
  </authors>
  <commentList>
    <comment authorId="0" xr:uid="{594e1bd6-f7aa-4c06-8bfe-2fd173d9c9c5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desconte referido (Santiago Carmona) 450.000
</t>
      </text>
    </comment>
    <comment authorId="1" xr:uid="{a3508994-48d3-4f4b-801d-66da1dbfd38f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Jose Urrego 30
Hermano Alejo 180
</t>
      </text>
    </comment>
    <comment authorId="2" xr:uid="{c486d1f1-73eb-4f1b-bbb4-e2ee36567f7e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que hizo en diciembre pero fue por enero porque no tomo plan en el mes de diciembre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tc={002b2da1-5999-4062-b17d-6dd2546d386a}</author>
    <author>tc={04ca3633-4da7-4d78-b500-499b2d3d64f5}</author>
    <author>tc={06f6fe6c-aa8b-4c17-ae1d-f7ef23eac1e5}</author>
    <author>tc={12bb606f-44f7-4906-94bb-514bd14e7349}</author>
    <author>tc={1a7e310f-fde6-47bb-8d55-8334d28ad719}</author>
    <author>tc={255f0f26-0d86-4a9d-befb-53c1a61d7e69}</author>
    <author>tc={26740134-f86b-4412-9400-c98d8cd29231}</author>
    <author>tc={274e0d1c-a7ca-4412-983b-0b687f6f83cb}</author>
    <author>tc={2bf0dc2b-3627-4d62-9415-9d512b12bdad}</author>
    <author>tc={2dea3bec-c40c-431b-974c-caf375caed6c}</author>
    <author>tc={33d52661-f1dc-4b7a-9470-19804fac093e}</author>
    <author>tc={350565be-f3f3-401e-8968-657d8e1f2a6a}</author>
    <author>tc={371905ce-3530-49b2-beee-ed94af32a36d}</author>
    <author>tc={410a8a92-fad1-4827-bdfe-bf997fb05b24}</author>
    <author>tc={442e748b-6be3-4cf4-8628-a6391fb34971}</author>
    <author>tc={4bc6f374-a222-484b-ae18-65dfdeda612b}</author>
    <author>tc={570ee700-95b2-434d-9a91-d3c2fbbd7da3}</author>
    <author>tc={6f62dc3a-3245-4ae5-a99c-186754ac99e9}</author>
    <author>tc={6fd4f86d-9e00-42e2-ab51-4528cc5be0cf}</author>
    <author>tc={74fac81b-defd-4d6f-bb14-6307737c0627}</author>
    <author>tc={8765b864-d934-4c48-a436-4ac9dea7978a}</author>
    <author>tc={909f1449-8257-48c2-bc46-b063797cbe43}</author>
    <author>tc={9153d152-7b03-470a-8058-49ebd80da931}</author>
    <author>tc={a21d0481-98e2-4c08-80bd-eed330e76912}</author>
    <author>tc={a468e9e7-9ce2-4fde-9e3b-bb99f6ff5bd1}</author>
    <author>tc={a65388c1-f868-4850-91c2-4fd4ec1d990c}</author>
    <author>tc={ab90f123-4bac-4b7a-8a63-02d8e5c9450c}</author>
    <author>tc={b0177da7-2d59-4477-bdd7-12816b839134}</author>
    <author>tc={c3eaf534-7c00-4bc7-91cf-0547d7495015}</author>
    <author>tc={d26ad059-67d7-4d6e-8feb-467e22bd38df}</author>
    <author>tc={dc67397d-4d63-4750-8cc7-43c3f51e1754}</author>
    <author>tc={decd7c1b-8e72-439f-bb81-ca3971012b6b}</author>
    <author>tc={e24d48ed-f8f3-4cbc-87e4-4508ec6bdb4c}</author>
    <author>tc={e3bae180-45f2-4eba-80a2-682e512788e1}</author>
    <author>tc={e4510a6d-9584-4d36-a083-2cf2133df68a}</author>
    <author>tc={e6a07e73-2398-4571-bf55-bec6f31800af}</author>
    <author>tc={f747ea5e-7a5f-413a-8f28-e973e90e07d5}</author>
    <author>tc={fdb51038-c315-4d6d-bce9-e3eff613bbd6}</author>
  </authors>
  <commentList>
    <comment authorId="0" xr:uid="{002b2da1-5999-4062-b17d-6dd2546d386a}" ref="B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PISCINAS
</t>
      </text>
    </comment>
    <comment authorId="1" xr:uid="{04ca3633-4da7-4d78-b500-499b2d3d64f5}" ref="B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Videos David Frattini
</t>
      </text>
    </comment>
    <comment authorId="2" xr:uid="{06f6fe6c-aa8b-4c17-ae1d-f7ef23eac1e5}" ref="D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1940 Tri y Master + 280 Evelyn
</t>
      </text>
    </comment>
    <comment authorId="3" xr:uid="{12bb606f-44f7-4906-94bb-514bd14e7349}" ref="J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Jenifer Serrano
</t>
      </text>
    </comment>
    <comment authorId="4" xr:uid="{1a7e310f-fde6-47bb-8d55-8334d28ad719}" ref="C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30 adicional que debia del mes pasado
</t>
      </text>
    </comment>
    <comment authorId="5" xr:uid="{255f0f26-0d86-4a9d-befb-53c1a61d7e69}" ref="C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2'660 Tri/master 245 Evelyn
</t>
      </text>
    </comment>
    <comment authorId="6" xr:uid="{26740134-f86b-4412-9400-c98d8cd29231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Entró 15 de enero
</t>
      </text>
    </comment>
    <comment authorId="7" xr:uid="{274e0d1c-a7ca-4412-983b-0b687f6f83cb}" ref="L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clases
</t>
      </text>
    </comment>
    <comment authorId="8" xr:uid="{2bf0dc2b-3627-4d62-9415-9d512b12bdad}" ref="I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hasta diciembre 2024
</t>
      </text>
    </comment>
    <comment authorId="9" xr:uid="{2dea3bec-c40c-431b-974c-caf375caed6c}" ref="M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Santiago Arango 80.000
Reply:
	hermano Alejo x3 meses 240.000
Reply:
	Andres Mora 80.000
</t>
      </text>
    </comment>
    <comment authorId="10" xr:uid="{33d52661-f1dc-4b7a-9470-19804fac093e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1'400 Tri
280 Master
315 Evelyn
70 sobre cargo carriles
</t>
      </text>
    </comment>
    <comment authorId="11" xr:uid="{350565be-f3f3-401e-8968-657d8e1f2a6a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Jose Barbaran 40
Reply:
	Santiago Carmona 40
</t>
      </text>
    </comment>
    <comment authorId="12" xr:uid="{371905ce-3530-49b2-beee-ed94af32a36d}" ref="D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piscinas + pago redes + honorarios Evelyn
</t>
      </text>
    </comment>
    <comment authorId="13" xr:uid="{410a8a92-fad1-4827-bdfe-bf997fb05b24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Hosting pagina web
</t>
      </text>
    </comment>
    <comment authorId="14" xr:uid="{442e748b-6be3-4cf4-8628-a6391fb34971}" ref="L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Evelyn 448.000
Profe nueva 220.000
</t>
      </text>
    </comment>
    <comment authorId="15" xr:uid="{4bc6f374-a222-484b-ae18-65dfdeda612b}" ref="L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Honorarios Mendoza estados de Cuenta para asamblea
</t>
      </text>
    </comment>
    <comment authorId="16" xr:uid="{570ee700-95b2-434d-9a91-d3c2fbbd7da3}" ref="G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1'3450 Tri y Master
280 Eve
</t>
      </text>
    </comment>
    <comment authorId="17" xr:uid="{6f62dc3a-3245-4ae5-a99c-186754ac99e9}" ref="G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entro a mitad de mayo pero pago completo porque sale de vacaciones mitad de junio
</t>
      </text>
    </comment>
    <comment authorId="18" xr:uid="{6fd4f86d-9e00-42e2-ab51-4528cc5be0cf}" ref="L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560.000 alphax 
165.000 profesora
</t>
      </text>
    </comment>
    <comment authorId="19" xr:uid="{74fac81b-defd-4d6f-bb14-6307737c0627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Carlos Zuluaga
</t>
      </text>
    </comment>
    <comment authorId="20" xr:uid="{8765b864-d934-4c48-a436-4ac9dea7978a}" ref="L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a Mendoza por estados financieros
</t>
      </text>
    </comment>
    <comment authorId="21" xr:uid="{909f1449-8257-48c2-bc46-b063797cbe43}" ref="I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985.000 Tri
300.000 Evelyn
</t>
      </text>
    </comment>
    <comment authorId="22" xr:uid="{9153d152-7b03-470a-8058-49ebd80da931}" ref="F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420/2 Evelyn =210
1400 Tri y Master
</t>
      </text>
    </comment>
    <comment authorId="23" xr:uid="{a21d0481-98e2-4c08-80bd-eed330e76912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2'040.000 tri y master +160.000 mitad uso Evelyn
</t>
      </text>
    </comment>
    <comment authorId="24" xr:uid="{a468e9e7-9ce2-4fde-9e3b-bb99f6ff5bd1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250 ya que mes pasado puso 100 de mas
</t>
      </text>
    </comment>
    <comment authorId="25" xr:uid="{a65388c1-f868-4850-91c2-4fd4ec1d990c}" ref="J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Dominio pagina web x2 años
</t>
      </text>
    </comment>
    <comment authorId="26" xr:uid="{ab90f123-4bac-4b7a-8a63-02d8e5c9450c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con trabajo audiovisual
</t>
      </text>
    </comment>
    <comment authorId="27" xr:uid="{b0177da7-2d59-4477-bdd7-12816b839134}" ref="M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honorarios profesora de natacion
</t>
      </text>
    </comment>
    <comment authorId="28" xr:uid="{c3eaf534-7c00-4bc7-91cf-0547d7495015}" ref="E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 por corregir ya que no tome costo de la piscina que le tocaba a Evelyn
</t>
      </text>
    </comment>
    <comment authorId="29" xr:uid="{d26ad059-67d7-4d6e-8feb-467e22bd38df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 Frattini
30 Ivonne
80 Santiago Arango
</t>
      </text>
    </comment>
    <comment authorId="30" xr:uid="{dc67397d-4d63-4750-8cc7-43c3f51e1754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Host pagina web
</t>
      </text>
    </comment>
    <comment authorId="31" xr:uid="{decd7c1b-8e72-439f-bb81-ca3971012b6b}" ref="J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Saldo a favor 180000
</t>
      </text>
    </comment>
    <comment authorId="32" xr:uid="{e24d48ed-f8f3-4cbc-87e4-4508ec6bdb4c}" ref="K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350 Evelyn 
1190 Alphax
</t>
      </text>
    </comment>
    <comment authorId="33" xr:uid="{e3bae180-45f2-4eba-80a2-682e512788e1}" ref="J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1.120.000 tri 
245.000 Evelyn
</t>
      </text>
    </comment>
    <comment authorId="34" xr:uid="{e4510a6d-9584-4d36-a083-2cf2133df68a}" ref="F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Contenidos Frattini
</t>
      </text>
    </comment>
    <comment authorId="35" xr:uid="{e6a07e73-2398-4571-bf55-bec6f31800af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190 Recibio Alejo
80 Carlos (Jorge Mora)
</t>
      </text>
    </comment>
    <comment authorId="36" xr:uid="{f747ea5e-7a5f-413a-8f28-e973e90e07d5}" ref="E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1`960 carriles Master y tri
490 Aprendizaje / 2= 245
</t>
      </text>
    </comment>
    <comment authorId="37" xr:uid="{fdb51038-c315-4d6d-bce9-e3eff613bbd6}" ref="L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Tiqueteras x5 +60 Jenifer +40 mendoza
</t>
      </text>
    </comment>
  </commentList>
</comments>
</file>

<file path=xl/sharedStrings.xml><?xml version="1.0" encoding="utf-8"?>
<sst xmlns="http://schemas.openxmlformats.org/spreadsheetml/2006/main" count="1772" uniqueCount="778">
  <si>
    <t xml:space="preserve">CUENTAS 2019 ATLETAS TRI Y ATLETISMO </t>
  </si>
  <si>
    <t xml:space="preserve">ATLETA </t>
  </si>
  <si>
    <t>AGOSTO</t>
  </si>
  <si>
    <t>SEPTIEMBRE</t>
  </si>
  <si>
    <t>OCTUBRE</t>
  </si>
  <si>
    <t>NOVIEMBRE</t>
  </si>
  <si>
    <t>DICIEMBRE</t>
  </si>
  <si>
    <t>MANUELA LEYVA</t>
  </si>
  <si>
    <t xml:space="preserve">ANGEL MELEAN </t>
  </si>
  <si>
    <t xml:space="preserve">ERIKA VALENCIA  </t>
  </si>
  <si>
    <t xml:space="preserve">ALEJANDRO HERRERA </t>
  </si>
  <si>
    <t>LUCAS VALLEJO</t>
  </si>
  <si>
    <t>WILSON ORTIZ</t>
  </si>
  <si>
    <t xml:space="preserve">NESTOR PARRA </t>
  </si>
  <si>
    <t xml:space="preserve">JANSEY QUINTERO </t>
  </si>
  <si>
    <t>ANDRES DUQUE</t>
  </si>
  <si>
    <t>TOTAL ENTRO</t>
  </si>
  <si>
    <t xml:space="preserve">GASTOS </t>
  </si>
  <si>
    <t>DESCRIPCION OTROS</t>
  </si>
  <si>
    <t xml:space="preserve">TRAINING PEAKS </t>
  </si>
  <si>
    <t xml:space="preserve">OTROS </t>
  </si>
  <si>
    <t xml:space="preserve">TOTAL GASTOS </t>
  </si>
  <si>
    <t xml:space="preserve">TOTAL HABER </t>
  </si>
  <si>
    <t>TOTALES 2019</t>
  </si>
  <si>
    <t xml:space="preserve">ENTRO </t>
  </si>
  <si>
    <t>GASTOS</t>
  </si>
  <si>
    <t xml:space="preserve">NETO </t>
  </si>
  <si>
    <t>JC CYCLING</t>
  </si>
  <si>
    <t xml:space="preserve">TOTAL </t>
  </si>
  <si>
    <t>CUENTAS 2020 MULTISPORT</t>
  </si>
  <si>
    <t>ENERO</t>
  </si>
  <si>
    <t>FEBRERO</t>
  </si>
  <si>
    <t>MARZO</t>
  </si>
  <si>
    <t>ABRIL</t>
  </si>
  <si>
    <t>MAYO</t>
  </si>
  <si>
    <t>JUNIO</t>
  </si>
  <si>
    <t>JULIO</t>
  </si>
  <si>
    <t>IVONNE CALDERA</t>
  </si>
  <si>
    <t>ANAIS MOUSSY</t>
  </si>
  <si>
    <t xml:space="preserve">SEBASTIAN JARAMILLO </t>
  </si>
  <si>
    <t xml:space="preserve">ALEXANDER RIVERA </t>
  </si>
  <si>
    <t xml:space="preserve">YURA ARANGO </t>
  </si>
  <si>
    <t>MARCELA RAMIREZ</t>
  </si>
  <si>
    <t>OMAR LOPEZ</t>
  </si>
  <si>
    <t>LAURA HERNANDEZ</t>
  </si>
  <si>
    <t xml:space="preserve">STEFANY SALAZAR </t>
  </si>
  <si>
    <t xml:space="preserve">THOMAS ALZATE </t>
  </si>
  <si>
    <t xml:space="preserve">LUIS LAROCHE </t>
  </si>
  <si>
    <t>VICTOR GONZALES</t>
  </si>
  <si>
    <t>JOSE MUGUESSA</t>
  </si>
  <si>
    <t>JERONIMO UPEGUI</t>
  </si>
  <si>
    <t>SANTIAGO VELASQUEZ</t>
  </si>
  <si>
    <t xml:space="preserve">MARCELA CARVAJAL </t>
  </si>
  <si>
    <t>JAIME DUQUE</t>
  </si>
  <si>
    <t xml:space="preserve">NATACION </t>
  </si>
  <si>
    <t xml:space="preserve">CUENTAS 2021 MULTISPORT </t>
  </si>
  <si>
    <t xml:space="preserve">JUAN DAVID ARROYAVE </t>
  </si>
  <si>
    <t xml:space="preserve">ERIKA VALENCIA </t>
  </si>
  <si>
    <t xml:space="preserve">SIMON FRATTINI </t>
  </si>
  <si>
    <t xml:space="preserve">SANDRA BAYONA </t>
  </si>
  <si>
    <t>JUAN DIEGO PINEDA</t>
  </si>
  <si>
    <t>CAMILO RESTREPO</t>
  </si>
  <si>
    <t>CAMILO BELLO</t>
  </si>
  <si>
    <t xml:space="preserve">CARLOS MARIN </t>
  </si>
  <si>
    <t xml:space="preserve">ALEJANDRO GAVIRIA </t>
  </si>
  <si>
    <t>FELIPE ZAMBRANO</t>
  </si>
  <si>
    <t>VICTOR RESTREPO</t>
  </si>
  <si>
    <t xml:space="preserve">JUAN DAVID CUERVO </t>
  </si>
  <si>
    <t>SARAH WEBB</t>
  </si>
  <si>
    <t>SANTIAGO ESCOBAR</t>
  </si>
  <si>
    <t xml:space="preserve">SUSANA PALACIO </t>
  </si>
  <si>
    <t>JOSE LUIS BRAVINNI</t>
  </si>
  <si>
    <t xml:space="preserve">JORGE VARGAS </t>
  </si>
  <si>
    <t>RYAN PROSSER</t>
  </si>
  <si>
    <t>JUAN RESTREPO</t>
  </si>
  <si>
    <t>PABLO GONZALEZ</t>
  </si>
  <si>
    <t xml:space="preserve">LORENA PALMA </t>
  </si>
  <si>
    <t xml:space="preserve">DANIELA ROMERO </t>
  </si>
  <si>
    <t xml:space="preserve">RICHART ESCOBAR </t>
  </si>
  <si>
    <t>RONMY GONZALEZ</t>
  </si>
  <si>
    <t xml:space="preserve">NELSON BEJARANO </t>
  </si>
  <si>
    <t xml:space="preserve">CARLOS NOVOA </t>
  </si>
  <si>
    <t xml:space="preserve">JOSE MUNERA </t>
  </si>
  <si>
    <t xml:space="preserve">JULIANA ROJAS </t>
  </si>
  <si>
    <t xml:space="preserve">CARLOS MENDOZA </t>
  </si>
  <si>
    <t xml:space="preserve">VICTOR GONZALEZ </t>
  </si>
  <si>
    <t xml:space="preserve">JULIAN TORRES </t>
  </si>
  <si>
    <t xml:space="preserve">DAVID FRATTINI </t>
  </si>
  <si>
    <t xml:space="preserve">MALU DELGADILLO </t>
  </si>
  <si>
    <t xml:space="preserve">GIULIO TATA </t>
  </si>
  <si>
    <t>JOE SUAREZ</t>
  </si>
  <si>
    <t xml:space="preserve">CAMILA POSADA </t>
  </si>
  <si>
    <t xml:space="preserve">FERNANDO AVILA </t>
  </si>
  <si>
    <t>ALEJANDRA BUELVAS</t>
  </si>
  <si>
    <t>MANUELA RESTREPO</t>
  </si>
  <si>
    <t xml:space="preserve">ANUAL </t>
  </si>
  <si>
    <t xml:space="preserve">MENSUAL </t>
  </si>
  <si>
    <t xml:space="preserve">GASTOS PISCINA </t>
  </si>
  <si>
    <t>ALEJANDRO MEDELLIN</t>
  </si>
  <si>
    <t xml:space="preserve">ALEJANDRO REMOTO </t>
  </si>
  <si>
    <t>TOTAL ALEJANDRO</t>
  </si>
  <si>
    <t>TOTALES AÑO</t>
  </si>
  <si>
    <t>NETO</t>
  </si>
  <si>
    <t xml:space="preserve">CUENTAS 2022 MULTISPORT </t>
  </si>
  <si>
    <t xml:space="preserve">ALEJANDRA MEJIA </t>
  </si>
  <si>
    <t xml:space="preserve">CAMILO RESTREPO </t>
  </si>
  <si>
    <t xml:space="preserve">CAMILO BELLO </t>
  </si>
  <si>
    <t>DANIELA OCAMPO</t>
  </si>
  <si>
    <t xml:space="preserve">constitucion </t>
  </si>
  <si>
    <t xml:space="preserve">del </t>
  </si>
  <si>
    <t xml:space="preserve">CONGELA </t>
  </si>
  <si>
    <t xml:space="preserve">club </t>
  </si>
  <si>
    <t xml:space="preserve">PABLO QUIÑONES </t>
  </si>
  <si>
    <t xml:space="preserve">SANDRA ESPINOSA </t>
  </si>
  <si>
    <t>SARA ESPINAL</t>
  </si>
  <si>
    <t xml:space="preserve">SEBASTIAN VERA </t>
  </si>
  <si>
    <t>coaching España</t>
  </si>
  <si>
    <t>SIMON VELASQUEZ</t>
  </si>
  <si>
    <t xml:space="preserve">SUSANA TORRES </t>
  </si>
  <si>
    <t>ANGELA SAMBONI</t>
  </si>
  <si>
    <t xml:space="preserve">ALEJANDRA PATIÑO </t>
  </si>
  <si>
    <t xml:space="preserve">CAROLINA BELTRAN </t>
  </si>
  <si>
    <t xml:space="preserve">DAVID QUINTERO </t>
  </si>
  <si>
    <t xml:space="preserve">FELIPE SALAZAR </t>
  </si>
  <si>
    <t>MARGARITA JARAMILLO</t>
  </si>
  <si>
    <t xml:space="preserve">NATALIA QUIROZ </t>
  </si>
  <si>
    <t xml:space="preserve">NATALY MENESES </t>
  </si>
  <si>
    <t>Coaching España</t>
  </si>
  <si>
    <t xml:space="preserve">PABLO GONZALES </t>
  </si>
  <si>
    <t>SEBASTIAN VERA</t>
  </si>
  <si>
    <t xml:space="preserve">SHIRLEY MARTINEZ </t>
  </si>
  <si>
    <t xml:space="preserve">SERGIO GIRALDO </t>
  </si>
  <si>
    <t>JOSE LUIS BRAVINI</t>
  </si>
  <si>
    <t>CONGELA</t>
  </si>
  <si>
    <t>JUAN SEB. RESTREPO</t>
  </si>
  <si>
    <t xml:space="preserve">Reposicion de abril </t>
  </si>
  <si>
    <t>FELIPE CASTRILLON</t>
  </si>
  <si>
    <t>ANGEL SEMPRUN</t>
  </si>
  <si>
    <t>JEANNETTE DURAN</t>
  </si>
  <si>
    <t xml:space="preserve">JOSE LUIS MUNERA </t>
  </si>
  <si>
    <t>JULIANA QUEVEDO</t>
  </si>
  <si>
    <t xml:space="preserve">LUIS MANUEL HERMOSO </t>
  </si>
  <si>
    <t xml:space="preserve">LUISA FERNANDA OSPINA </t>
  </si>
  <si>
    <t>YURA ARANGO</t>
  </si>
  <si>
    <t>ALEJANDRA TELLEZ</t>
  </si>
  <si>
    <t>ARJU VASQUEZ</t>
  </si>
  <si>
    <t xml:space="preserve">CARLOS CARO </t>
  </si>
  <si>
    <t>DANIELA RUSSI</t>
  </si>
  <si>
    <t xml:space="preserve">JORGE ANDRES MORA </t>
  </si>
  <si>
    <t xml:space="preserve">FELIPE LUJAN </t>
  </si>
  <si>
    <t>JUAN SEBASTIAN MONJE</t>
  </si>
  <si>
    <t>LINA BONILLA</t>
  </si>
  <si>
    <t>LAURA QUINTERO</t>
  </si>
  <si>
    <t xml:space="preserve">LAURA VALENCIA </t>
  </si>
  <si>
    <t xml:space="preserve">MANUELA RESTREPO </t>
  </si>
  <si>
    <t xml:space="preserve">BRENDA BRACHO </t>
  </si>
  <si>
    <t>JORGE SOTO</t>
  </si>
  <si>
    <t>JULIAN GALVIS</t>
  </si>
  <si>
    <t>JUAN SILVA</t>
  </si>
  <si>
    <t xml:space="preserve">NICOLAS JARAMILLO </t>
  </si>
  <si>
    <t>PEDRO JARAMILLO</t>
  </si>
  <si>
    <t>VALERIA RESTREPO</t>
  </si>
  <si>
    <t xml:space="preserve">ENERO </t>
  </si>
  <si>
    <t xml:space="preserve">FEBRERO </t>
  </si>
  <si>
    <t>ALEJANDRO TRI</t>
  </si>
  <si>
    <t>ALEJANDRO RUN-NAT</t>
  </si>
  <si>
    <t>CARLOS CABRERA</t>
  </si>
  <si>
    <t>EVA POLO</t>
  </si>
  <si>
    <t>TOTAL CZ</t>
  </si>
  <si>
    <t xml:space="preserve">CUENTAS 2023 MULTISPORT </t>
  </si>
  <si>
    <t>cuadre por asamblea</t>
  </si>
  <si>
    <t>cuadre por as</t>
  </si>
  <si>
    <t>plan sem</t>
  </si>
  <si>
    <t>anual</t>
  </si>
  <si>
    <t xml:space="preserve">congela </t>
  </si>
  <si>
    <t>ALEX CASAS</t>
  </si>
  <si>
    <t>AURORA PEREZ</t>
  </si>
  <si>
    <t>CARLOS ZABALA</t>
  </si>
  <si>
    <t>CATHERINE RESTREPO</t>
  </si>
  <si>
    <t>CRISTIAM LAGUADO</t>
  </si>
  <si>
    <t xml:space="preserve">CRISTIAN MUÑOZ </t>
  </si>
  <si>
    <t xml:space="preserve">DANIELA OCAMPO </t>
  </si>
  <si>
    <t xml:space="preserve">DARIO TORRES </t>
  </si>
  <si>
    <t>DAVID FRATTINI</t>
  </si>
  <si>
    <t xml:space="preserve">DANIEL GIRALDO </t>
  </si>
  <si>
    <t xml:space="preserve">JESSICA SANTANA </t>
  </si>
  <si>
    <t xml:space="preserve">JHONNY LADINO </t>
  </si>
  <si>
    <t xml:space="preserve">JUAN CARPITERO </t>
  </si>
  <si>
    <t xml:space="preserve">JUAN CEBALLOS </t>
  </si>
  <si>
    <t>JULIAN PARDO</t>
  </si>
  <si>
    <t>KELLY BUITRAGO</t>
  </si>
  <si>
    <t xml:space="preserve">LAURA DELGADO </t>
  </si>
  <si>
    <t>LAURA HIJUELOS</t>
  </si>
  <si>
    <t xml:space="preserve">LUIS FIGUEROA </t>
  </si>
  <si>
    <t xml:space="preserve">LUCAS VASQUEZ </t>
  </si>
  <si>
    <t xml:space="preserve">LINA VELASQUEZ </t>
  </si>
  <si>
    <t xml:space="preserve">LISSETH GARCIA </t>
  </si>
  <si>
    <t xml:space="preserve">LORENA MORALES </t>
  </si>
  <si>
    <t xml:space="preserve">MANUELA GALVEZ </t>
  </si>
  <si>
    <t xml:space="preserve">MARIANA GUTIERREZ </t>
  </si>
  <si>
    <t>MAXIMILIANO ARREDONDO</t>
  </si>
  <si>
    <t>NATALIA CRUZ</t>
  </si>
  <si>
    <t xml:space="preserve">NINI SOTO </t>
  </si>
  <si>
    <t xml:space="preserve">NESTOR MEDINA </t>
  </si>
  <si>
    <t>OSCAR UMAÑA</t>
  </si>
  <si>
    <t>VERONICA RESTREPO</t>
  </si>
  <si>
    <t xml:space="preserve">VANESSA MONTOYA </t>
  </si>
  <si>
    <t xml:space="preserve">SANTIAGO SANCHEZ </t>
  </si>
  <si>
    <t>SARA GRANADA</t>
  </si>
  <si>
    <t>SEBASTIAN MARTHEYN</t>
  </si>
  <si>
    <t>YARITZA DUQUE</t>
  </si>
  <si>
    <t xml:space="preserve">TOMAS MORALES </t>
  </si>
  <si>
    <t>JORGE VARGAS</t>
  </si>
  <si>
    <t>ISABELA CUARTAS</t>
  </si>
  <si>
    <t xml:space="preserve">JOSE LUIS BRAVINI </t>
  </si>
  <si>
    <t xml:space="preserve">LAURA QUINTERO </t>
  </si>
  <si>
    <t>plan trimestre</t>
  </si>
  <si>
    <t xml:space="preserve">OMAR LOPEZ </t>
  </si>
  <si>
    <t xml:space="preserve">SARA MUSALAN </t>
  </si>
  <si>
    <t xml:space="preserve">ALEXANDER SANDOVAL </t>
  </si>
  <si>
    <t xml:space="preserve">ALVARO OSPINA </t>
  </si>
  <si>
    <t xml:space="preserve">ALI PALENCIA </t>
  </si>
  <si>
    <t>trimestre</t>
  </si>
  <si>
    <t xml:space="preserve">CATALINA PEREZ </t>
  </si>
  <si>
    <t xml:space="preserve">DANIELA MATURANA </t>
  </si>
  <si>
    <t>congela</t>
  </si>
  <si>
    <t>JOSE SANDOVAL</t>
  </si>
  <si>
    <t>pago anterior x2</t>
  </si>
  <si>
    <t xml:space="preserve">JUAN AVENDAÑO </t>
  </si>
  <si>
    <t xml:space="preserve">JUAN FRANCISCO SILVA </t>
  </si>
  <si>
    <t xml:space="preserve">JUAN PABLO MARQUEZ </t>
  </si>
  <si>
    <t>MARIA FERNANDA REINA</t>
  </si>
  <si>
    <t>PAOLA CRESPO</t>
  </si>
  <si>
    <t>semestre</t>
  </si>
  <si>
    <t>Trimestre</t>
  </si>
  <si>
    <t xml:space="preserve">NEREO BALLESTEROS </t>
  </si>
  <si>
    <t>VICTOR ORREGO</t>
  </si>
  <si>
    <t xml:space="preserve">BYRON GONZALEZ </t>
  </si>
  <si>
    <t>plan tri</t>
  </si>
  <si>
    <t xml:space="preserve">PAULA CORREA </t>
  </si>
  <si>
    <t>SARA GONZALEZ</t>
  </si>
  <si>
    <t xml:space="preserve">ANA MARIA GUTIERREZ </t>
  </si>
  <si>
    <t>ALEX SEPULVEDA</t>
  </si>
  <si>
    <t>ALEJANDRA RESTREPO</t>
  </si>
  <si>
    <t xml:space="preserve">MIGUEL NAHUELCOY </t>
  </si>
  <si>
    <t>JAIME MENDEZ</t>
  </si>
  <si>
    <t xml:space="preserve">RAFAEL CIFUENTES </t>
  </si>
  <si>
    <t xml:space="preserve">Anual </t>
  </si>
  <si>
    <t xml:space="preserve">Mensual </t>
  </si>
  <si>
    <t xml:space="preserve">ALEJANDRO CON CARLOS </t>
  </si>
  <si>
    <t xml:space="preserve">%GASTOS </t>
  </si>
  <si>
    <t xml:space="preserve">USD </t>
  </si>
  <si>
    <t xml:space="preserve">EXTRAS </t>
  </si>
  <si>
    <t xml:space="preserve">GRAN TOTAL </t>
  </si>
  <si>
    <t xml:space="preserve">GASTOS REGALOS </t>
  </si>
  <si>
    <t>UNIDAD</t>
  </si>
  <si>
    <t>TOTAL</t>
  </si>
  <si>
    <t xml:space="preserve">Bolsas Regalo </t>
  </si>
  <si>
    <t>pago Alejandro</t>
  </si>
  <si>
    <t xml:space="preserve">80 Gorras </t>
  </si>
  <si>
    <t xml:space="preserve">Pines </t>
  </si>
  <si>
    <t xml:space="preserve">80 Camisetas </t>
  </si>
  <si>
    <t xml:space="preserve">CADA KIT </t>
  </si>
  <si>
    <t xml:space="preserve">KITS CHAPI </t>
  </si>
  <si>
    <t xml:space="preserve">KITS CARLOS </t>
  </si>
  <si>
    <t>KITS ALEJO</t>
  </si>
  <si>
    <t xml:space="preserve">Anono Alejo </t>
  </si>
  <si>
    <t xml:space="preserve">Saldo </t>
  </si>
  <si>
    <t xml:space="preserve">Abono; </t>
  </si>
  <si>
    <t xml:space="preserve">Abono </t>
  </si>
  <si>
    <t xml:space="preserve">ALEJANDRO ENERO </t>
  </si>
  <si>
    <t>ALEJANDRO FEBRERO</t>
  </si>
  <si>
    <t>ALEJANDRO MARZO</t>
  </si>
  <si>
    <t xml:space="preserve">ALEJANDRO ABRIL </t>
  </si>
  <si>
    <t>ALEJANDRO MAYO</t>
  </si>
  <si>
    <t xml:space="preserve">ALEJANDRO JUNIO </t>
  </si>
  <si>
    <t>ALEJANDRO JULIO</t>
  </si>
  <si>
    <t xml:space="preserve">CUENTAS 2024 MULTISPORT </t>
  </si>
  <si>
    <t xml:space="preserve">Juan Felipe Velasquez </t>
  </si>
  <si>
    <t xml:space="preserve">Melissa Molina </t>
  </si>
  <si>
    <t xml:space="preserve">Thomas Rengifo </t>
  </si>
  <si>
    <t>Daniel Giraldo</t>
  </si>
  <si>
    <t>Maximiliano Arredondo</t>
  </si>
  <si>
    <t xml:space="preserve">Carolina Bernal </t>
  </si>
  <si>
    <t xml:space="preserve">Valentina Medina </t>
  </si>
  <si>
    <t>Columna 1</t>
  </si>
  <si>
    <t>Columna 2</t>
  </si>
  <si>
    <t xml:space="preserve">Manuela Galvez </t>
  </si>
  <si>
    <t>Alex Casas</t>
  </si>
  <si>
    <t xml:space="preserve">Daniel Giraldo </t>
  </si>
  <si>
    <t xml:space="preserve">Juan Carpintero </t>
  </si>
  <si>
    <t xml:space="preserve">Daniel Quintero </t>
  </si>
  <si>
    <t xml:space="preserve">Daniel Giralfo </t>
  </si>
  <si>
    <t xml:space="preserve">Alejandra Restrepo </t>
  </si>
  <si>
    <t xml:space="preserve">Ivonne Caldera </t>
  </si>
  <si>
    <t xml:space="preserve">Lina Velasquez </t>
  </si>
  <si>
    <t xml:space="preserve">Maximiliano Arredondeo </t>
  </si>
  <si>
    <t>Laura Mendez</t>
  </si>
  <si>
    <t>Lary Betancourt</t>
  </si>
  <si>
    <t>ANDRES BOLIVAR</t>
  </si>
  <si>
    <t xml:space="preserve">Carlos Mendoza </t>
  </si>
  <si>
    <t>Lina Velasquez</t>
  </si>
  <si>
    <t xml:space="preserve">Maximiliano Arredondo </t>
  </si>
  <si>
    <t xml:space="preserve">MAximiliano Arredondo </t>
  </si>
  <si>
    <t xml:space="preserve">Felipe Zambrano </t>
  </si>
  <si>
    <t xml:space="preserve">Carlos Caro </t>
  </si>
  <si>
    <t>Carlos Mendoza</t>
  </si>
  <si>
    <t xml:space="preserve">Daniel giraldo </t>
  </si>
  <si>
    <t xml:space="preserve">ALEJANDRA RESTREPO </t>
  </si>
  <si>
    <t>Maxi Arredondo</t>
  </si>
  <si>
    <t xml:space="preserve">Leyla Martinez </t>
  </si>
  <si>
    <t xml:space="preserve">ALEJANDRO BEDOYA </t>
  </si>
  <si>
    <t>ALEJANDRA ECHEVERRI</t>
  </si>
  <si>
    <t>Andrea Londoño</t>
  </si>
  <si>
    <t xml:space="preserve">Arley Quintero </t>
  </si>
  <si>
    <t>Alejandra Mejia</t>
  </si>
  <si>
    <t>Sara Espinal</t>
  </si>
  <si>
    <t xml:space="preserve">Natalia Cruz </t>
  </si>
  <si>
    <t>Juan Carpintero</t>
  </si>
  <si>
    <t>Oscar Umaña</t>
  </si>
  <si>
    <t>ARLEY QUINTERO</t>
  </si>
  <si>
    <t xml:space="preserve">Oscar Umaña </t>
  </si>
  <si>
    <t xml:space="preserve">Felipe Za,brano </t>
  </si>
  <si>
    <t>CARLOS CARO</t>
  </si>
  <si>
    <t xml:space="preserve">Laura Mendez </t>
  </si>
  <si>
    <t>CAterine Restrepo</t>
  </si>
  <si>
    <t>Meslissa Molina</t>
  </si>
  <si>
    <t xml:space="preserve">Alex Casas </t>
  </si>
  <si>
    <t>Catherine Restrepo</t>
  </si>
  <si>
    <t xml:space="preserve">Natalia Criuz </t>
  </si>
  <si>
    <t xml:space="preserve">Sara Espinal </t>
  </si>
  <si>
    <t>Carlos Caro</t>
  </si>
  <si>
    <t>CATHERINE VILLAMIZAR</t>
  </si>
  <si>
    <t>Alejandra Echeverri</t>
  </si>
  <si>
    <t xml:space="preserve">CAROLINA BERNAL </t>
  </si>
  <si>
    <t>Sergio Duque</t>
  </si>
  <si>
    <t xml:space="preserve">Sergio Giraldo </t>
  </si>
  <si>
    <t xml:space="preserve">PAblo MAria </t>
  </si>
  <si>
    <t>Veronica Restrepo</t>
  </si>
  <si>
    <t xml:space="preserve">Pablo Maria </t>
  </si>
  <si>
    <t>Sandra Bayona</t>
  </si>
  <si>
    <t>Jose Manuel Quintero</t>
  </si>
  <si>
    <t xml:space="preserve">Isabel Gomez </t>
  </si>
  <si>
    <t xml:space="preserve">Sergio Duque </t>
  </si>
  <si>
    <t xml:space="preserve">Lucas Vasquez </t>
  </si>
  <si>
    <t xml:space="preserve">Sergio duque </t>
  </si>
  <si>
    <t xml:space="preserve">Caterine Restrepo </t>
  </si>
  <si>
    <t>Angela Samboni</t>
  </si>
  <si>
    <t>160+ efectivo</t>
  </si>
  <si>
    <t xml:space="preserve">Felipe Salazar </t>
  </si>
  <si>
    <t xml:space="preserve">Sandra Bayona </t>
  </si>
  <si>
    <t>Lucas Vasquez</t>
  </si>
  <si>
    <t xml:space="preserve">Melisssa Molina </t>
  </si>
  <si>
    <t>DIEGO GALVIS</t>
  </si>
  <si>
    <t xml:space="preserve">Veronica Restrepo </t>
  </si>
  <si>
    <t xml:space="preserve">Andres Bolivar </t>
  </si>
  <si>
    <t xml:space="preserve">FELIPE ZAMBRANO </t>
  </si>
  <si>
    <t xml:space="preserve">Cristian Muñoz </t>
  </si>
  <si>
    <t xml:space="preserve">efectivo </t>
  </si>
  <si>
    <t xml:space="preserve">Angela Samboni </t>
  </si>
  <si>
    <t xml:space="preserve">160 transferencia +90 efectivo </t>
  </si>
  <si>
    <t xml:space="preserve">Pablo MAria </t>
  </si>
  <si>
    <t xml:space="preserve">160 trsnfer y resto efectivo </t>
  </si>
  <si>
    <t>ISABEL QUINTERO (Isabel Gomez)</t>
  </si>
  <si>
    <t>Julian Pardo</t>
  </si>
  <si>
    <t xml:space="preserve">Sebastian Martheyn </t>
  </si>
  <si>
    <t>Sebastian Martheyn</t>
  </si>
  <si>
    <t>Manuel Quintero (isabel gomez)</t>
  </si>
  <si>
    <t xml:space="preserve">Lary Betancurt </t>
  </si>
  <si>
    <t xml:space="preserve">Julian Pardo </t>
  </si>
  <si>
    <t xml:space="preserve">Simon Velasquez </t>
  </si>
  <si>
    <t xml:space="preserve">Catherines Restrepo </t>
  </si>
  <si>
    <t xml:space="preserve">SAndra Vayona </t>
  </si>
  <si>
    <t>Simon Frattini</t>
  </si>
  <si>
    <t xml:space="preserve">Veronca Restrepo </t>
  </si>
  <si>
    <t>Thomas Rengifo</t>
  </si>
  <si>
    <t>Manuel Quintero</t>
  </si>
  <si>
    <t>JUAN CAMILO MORENO</t>
  </si>
  <si>
    <t>JUAN PABLO CARRASQUILLA</t>
  </si>
  <si>
    <t xml:space="preserve">JUAN FELIPE VELASQUEZ </t>
  </si>
  <si>
    <t xml:space="preserve">Manuel Quintero </t>
  </si>
  <si>
    <t xml:space="preserve">Dario Torres </t>
  </si>
  <si>
    <t xml:space="preserve">efectivo. Alejo </t>
  </si>
  <si>
    <t>160 banco+efectivo</t>
  </si>
  <si>
    <t>Ivonne Caldera</t>
  </si>
  <si>
    <t>JULIANA MEJIA</t>
  </si>
  <si>
    <t xml:space="preserve">Lisseth Garcia </t>
  </si>
  <si>
    <t>Dario Torres</t>
  </si>
  <si>
    <t>Efectivo</t>
  </si>
  <si>
    <t xml:space="preserve">Julian PArdo </t>
  </si>
  <si>
    <t>MAxi Arredondo</t>
  </si>
  <si>
    <t xml:space="preserve">LAURA MENDEZ </t>
  </si>
  <si>
    <t xml:space="preserve">mitad efe mitad transfer </t>
  </si>
  <si>
    <t>Simon Velasquez</t>
  </si>
  <si>
    <t xml:space="preserve">Andrea Londoño </t>
  </si>
  <si>
    <t xml:space="preserve">Sebastian MArtheyn </t>
  </si>
  <si>
    <t xml:space="preserve">Jaritza Duque </t>
  </si>
  <si>
    <t xml:space="preserve">Laura Delgado </t>
  </si>
  <si>
    <t xml:space="preserve">Simon Frattini </t>
  </si>
  <si>
    <t xml:space="preserve">Catherine Villamizar </t>
  </si>
  <si>
    <t>14/07</t>
  </si>
  <si>
    <t xml:space="preserve">Carlos Marin </t>
  </si>
  <si>
    <t xml:space="preserve">Cuadre restante de Regalos Alphax </t>
  </si>
  <si>
    <t xml:space="preserve">Saldo Alejo debe a carlos de Ajuste de cuentas </t>
  </si>
  <si>
    <t>LARY BETANCOURT</t>
  </si>
  <si>
    <t>efectivo</t>
  </si>
  <si>
    <t>15/07</t>
  </si>
  <si>
    <t>Felipe Salazar</t>
  </si>
  <si>
    <t>JAritza Duque</t>
  </si>
  <si>
    <t xml:space="preserve">Simon Velsquez </t>
  </si>
  <si>
    <t xml:space="preserve">LEYLA MARTINEZ </t>
  </si>
  <si>
    <t xml:space="preserve">Shirley Martinez </t>
  </si>
  <si>
    <t xml:space="preserve">Pablo Felipe MAria </t>
  </si>
  <si>
    <t xml:space="preserve">Efectivo </t>
  </si>
  <si>
    <t>Victor Restrepo</t>
  </si>
  <si>
    <t>MARIA ARISTIZABAL</t>
  </si>
  <si>
    <t xml:space="preserve">Dario torres </t>
  </si>
  <si>
    <t xml:space="preserve">2 transfer </t>
  </si>
  <si>
    <t xml:space="preserve">Laura Dlgado </t>
  </si>
  <si>
    <t xml:space="preserve">Victor Restrepo </t>
  </si>
  <si>
    <t>MANUEL QUINTERO (isabel gomez)</t>
  </si>
  <si>
    <t>En efectivo (recibio Alejandro)</t>
  </si>
  <si>
    <t xml:space="preserve">Pago Piscinas </t>
  </si>
  <si>
    <t xml:space="preserve">Juan Ceballos </t>
  </si>
  <si>
    <t xml:space="preserve">MELISSA MOLINA </t>
  </si>
  <si>
    <t xml:space="preserve">Evelyn Redes </t>
  </si>
  <si>
    <t xml:space="preserve">Pablo Felipe Maria </t>
  </si>
  <si>
    <t xml:space="preserve">Pods Stryd </t>
  </si>
  <si>
    <t xml:space="preserve">Pods que le vendi </t>
  </si>
  <si>
    <t xml:space="preserve">Honorarios Evelyn </t>
  </si>
  <si>
    <t xml:space="preserve">Pago Piscina </t>
  </si>
  <si>
    <t xml:space="preserve">Carlos Zuluaga </t>
  </si>
  <si>
    <t xml:space="preserve">ajuste cuentas </t>
  </si>
  <si>
    <t>excedente triatlon</t>
  </si>
  <si>
    <t xml:space="preserve">Pago piscinas </t>
  </si>
  <si>
    <t xml:space="preserve">Honorario Redes </t>
  </si>
  <si>
    <t xml:space="preserve">OSCAR PEREZ </t>
  </si>
  <si>
    <t xml:space="preserve">victor Restrepo </t>
  </si>
  <si>
    <t>Vicror Restrepo</t>
  </si>
  <si>
    <t xml:space="preserve">total Alejandro </t>
  </si>
  <si>
    <t xml:space="preserve">TOTAL ALEJANDRO </t>
  </si>
  <si>
    <t xml:space="preserve">PABLO FELIPE MARIA </t>
  </si>
  <si>
    <t xml:space="preserve">piscinas </t>
  </si>
  <si>
    <t xml:space="preserve">Retornar </t>
  </si>
  <si>
    <t xml:space="preserve">Retorno </t>
  </si>
  <si>
    <t xml:space="preserve">SUB TOTAL </t>
  </si>
  <si>
    <t xml:space="preserve">TOTAL INGRESO </t>
  </si>
  <si>
    <t>Total</t>
  </si>
  <si>
    <t>VALENTINA MEDINA</t>
  </si>
  <si>
    <t xml:space="preserve">Pago Alejandro por transferencia </t>
  </si>
  <si>
    <t xml:space="preserve">honorarios </t>
  </si>
  <si>
    <t xml:space="preserve">Pagos Piscinas </t>
  </si>
  <si>
    <t xml:space="preserve">Piscinas </t>
  </si>
  <si>
    <t xml:space="preserve">Pago Alejandro a Bodytech </t>
  </si>
  <si>
    <t xml:space="preserve">a Retornar </t>
  </si>
  <si>
    <t xml:space="preserve">Pago redes </t>
  </si>
  <si>
    <t xml:space="preserve">Pago piscina x20 nadadores </t>
  </si>
  <si>
    <t xml:space="preserve">pago piscina 21 nadadores </t>
  </si>
  <si>
    <t xml:space="preserve">% de honorarios </t>
  </si>
  <si>
    <t xml:space="preserve">pago piscina 23 nadadores </t>
  </si>
  <si>
    <t xml:space="preserve">Total gastos cada nadador </t>
  </si>
  <si>
    <t xml:space="preserve">Gasto por nadador </t>
  </si>
  <si>
    <t xml:space="preserve">SIMON VELASQUEZ </t>
  </si>
  <si>
    <t>a Retornar</t>
  </si>
  <si>
    <t xml:space="preserve">INGRESOS MENOS PAGOS </t>
  </si>
  <si>
    <t>Pago piscina Evelyn x6 nadadores</t>
  </si>
  <si>
    <t>Pago piscina  Evelyn x7</t>
  </si>
  <si>
    <t>Pago piscina  Evelyn x6</t>
  </si>
  <si>
    <t xml:space="preserve">Febrero Natacion Evelyn </t>
  </si>
  <si>
    <t>Marzo natacion Evelyn</t>
  </si>
  <si>
    <t>7 deportistas costaron c/u</t>
  </si>
  <si>
    <t>SERGIO DUQUE</t>
  </si>
  <si>
    <t>SEBASTAN GOMEZ</t>
  </si>
  <si>
    <t xml:space="preserve">THOMAS RENGIFO </t>
  </si>
  <si>
    <t>JARITZA DUQUE</t>
  </si>
  <si>
    <t xml:space="preserve">Febrero Natacion ALphax </t>
  </si>
  <si>
    <t xml:space="preserve">Marzo Natacion Alphax </t>
  </si>
  <si>
    <t>Costo cada uno (24 atletas)</t>
  </si>
  <si>
    <t xml:space="preserve">Costo cada uno (20 atletas) </t>
  </si>
  <si>
    <t>ANDREA ALZATE</t>
  </si>
  <si>
    <t>ALEJANDRO AGOSTO</t>
  </si>
  <si>
    <t>ALEJANDRO SEPTIEMBRE</t>
  </si>
  <si>
    <t>ALEJANDRO OCTUBRE</t>
  </si>
  <si>
    <t xml:space="preserve">Leyla MArtinez </t>
  </si>
  <si>
    <t xml:space="preserve">160 transfer </t>
  </si>
  <si>
    <t>Alejandra Restrepo</t>
  </si>
  <si>
    <t>Juan Carrasquilla</t>
  </si>
  <si>
    <t>FELIPE RICHARD</t>
  </si>
  <si>
    <t xml:space="preserve">MAximiliano </t>
  </si>
  <si>
    <t xml:space="preserve">Julian Espinal </t>
  </si>
  <si>
    <t xml:space="preserve">JENIFER SERRANO </t>
  </si>
  <si>
    <t>Marcela Carvajal</t>
  </si>
  <si>
    <t xml:space="preserve">Alejandro Bedoya </t>
  </si>
  <si>
    <t>Osacar Umaña</t>
  </si>
  <si>
    <t>Diego Galvis</t>
  </si>
  <si>
    <t xml:space="preserve">JOSE MANUEL RAMOS </t>
  </si>
  <si>
    <t>David Hernandez</t>
  </si>
  <si>
    <t>Carolina Bernal</t>
  </si>
  <si>
    <t>JOSE BARBARAN</t>
  </si>
  <si>
    <t>Arley Quintero</t>
  </si>
  <si>
    <t>Felipe Zambrano</t>
  </si>
  <si>
    <t xml:space="preserve">Valentina MEdina </t>
  </si>
  <si>
    <t>Juliana Mejia</t>
  </si>
  <si>
    <t>JULIAN MARIN</t>
  </si>
  <si>
    <t>JUAN BUITRAGO</t>
  </si>
  <si>
    <t xml:space="preserve">JUAN LONDOÑO </t>
  </si>
  <si>
    <t>Valentina MEdina</t>
  </si>
  <si>
    <t>Melissa Molina</t>
  </si>
  <si>
    <t xml:space="preserve">MARLON MARTINEZ </t>
  </si>
  <si>
    <t xml:space="preserve">MARTIN RAMOS </t>
  </si>
  <si>
    <t>MANUELA CORREA</t>
  </si>
  <si>
    <t xml:space="preserve">160 trans +efectivo </t>
  </si>
  <si>
    <t>Lucas VAsquez</t>
  </si>
  <si>
    <t>Pablo Maria</t>
  </si>
  <si>
    <t xml:space="preserve">OMAR CHAVEZ </t>
  </si>
  <si>
    <t>Juan Camilo Moreno</t>
  </si>
  <si>
    <t>Catherine Villamizar</t>
  </si>
  <si>
    <t xml:space="preserve">SANTIAGO VELASQUEZ </t>
  </si>
  <si>
    <t xml:space="preserve">David Hernandez </t>
  </si>
  <si>
    <t>SANTIAGO CARMONA</t>
  </si>
  <si>
    <t xml:space="preserve">Sebastian Gomez </t>
  </si>
  <si>
    <t xml:space="preserve">SEBASTIAN ULLOA </t>
  </si>
  <si>
    <t>Juan Carlos Moreno</t>
  </si>
  <si>
    <t>Andres Bolivar</t>
  </si>
  <si>
    <t>Isabel Quintero</t>
  </si>
  <si>
    <t>% MESUAL</t>
  </si>
  <si>
    <t xml:space="preserve">Dario Tores </t>
  </si>
  <si>
    <t>Jaritza Duque</t>
  </si>
  <si>
    <t>REDES</t>
  </si>
  <si>
    <t xml:space="preserve">Diego Galvis </t>
  </si>
  <si>
    <t>Sebastian MArtheyn</t>
  </si>
  <si>
    <t>OTROS</t>
  </si>
  <si>
    <t>% MENSUAL</t>
  </si>
  <si>
    <t>Laura delgado</t>
  </si>
  <si>
    <t>Valentina Quintero</t>
  </si>
  <si>
    <t>Shirley Martinez</t>
  </si>
  <si>
    <t>TOTAL INGRESOS  A CUENTA</t>
  </si>
  <si>
    <t>Redes</t>
  </si>
  <si>
    <t>ANDREA LONDOÑO</t>
  </si>
  <si>
    <t xml:space="preserve">Total Alejandro </t>
  </si>
  <si>
    <t>TOTAL TRANSFERENCIAS</t>
  </si>
  <si>
    <t>DAVID HERNANDEZ</t>
  </si>
  <si>
    <t xml:space="preserve">EXCEDENTE A RETORNAR </t>
  </si>
  <si>
    <t>JULIAN ESPINAL</t>
  </si>
  <si>
    <t xml:space="preserve">Pago manejo redes </t>
  </si>
  <si>
    <t>redes</t>
  </si>
  <si>
    <t xml:space="preserve">Nadadores: total 30 </t>
  </si>
  <si>
    <t xml:space="preserve">Gastos piscinas </t>
  </si>
  <si>
    <t>honorarios Evelyn</t>
  </si>
  <si>
    <t>MARCELA CARVAJAL</t>
  </si>
  <si>
    <t>Valor x deportista</t>
  </si>
  <si>
    <t xml:space="preserve">SERGIO DUQUE </t>
  </si>
  <si>
    <t>VALENTINA QUINTERO</t>
  </si>
  <si>
    <t>%MENSUAL</t>
  </si>
  <si>
    <t>NADADORES EVELYN</t>
  </si>
  <si>
    <t>ALEJANDRO NOVIEMBRE</t>
  </si>
  <si>
    <t>Columna 3</t>
  </si>
  <si>
    <t>Alejandro Diciembre</t>
  </si>
  <si>
    <t xml:space="preserve">GASTOS PISCINAS EVELYN </t>
  </si>
  <si>
    <t>Leyla MArtinez</t>
  </si>
  <si>
    <t>160 transfer</t>
  </si>
  <si>
    <t xml:space="preserve">ALUMNOS CARLOS </t>
  </si>
  <si>
    <t xml:space="preserve">TOTAL HONORARIOS EVELYN </t>
  </si>
  <si>
    <t>Maximiliano</t>
  </si>
  <si>
    <t xml:space="preserve">Total anual </t>
  </si>
  <si>
    <t xml:space="preserve">promedio mensual </t>
  </si>
  <si>
    <t>Maxi</t>
  </si>
  <si>
    <t xml:space="preserve">ALUMNOS ALEJANDRO </t>
  </si>
  <si>
    <t>31/10</t>
  </si>
  <si>
    <t>Leyla Martinez</t>
  </si>
  <si>
    <t>ALEJANDRO/CARLOS NATACION</t>
  </si>
  <si>
    <t>Lina VElasquez</t>
  </si>
  <si>
    <t>Alejadra Rstrepo</t>
  </si>
  <si>
    <t>Samboni</t>
  </si>
  <si>
    <t>USD</t>
  </si>
  <si>
    <t>COP</t>
  </si>
  <si>
    <t>Valentina Medina</t>
  </si>
  <si>
    <t>pago restantes meses anteriores</t>
  </si>
  <si>
    <t>N/E</t>
  </si>
  <si>
    <t xml:space="preserve">Total Anual </t>
  </si>
  <si>
    <t>promedio mensual</t>
  </si>
  <si>
    <t xml:space="preserve">abono </t>
  </si>
  <si>
    <t>Juan Moreno</t>
  </si>
  <si>
    <t xml:space="preserve">Isabel Quintero </t>
  </si>
  <si>
    <t>NETO  COP</t>
  </si>
  <si>
    <t xml:space="preserve">FElipe Zambrano </t>
  </si>
  <si>
    <t>BODYTECH</t>
  </si>
  <si>
    <t>Carrasquilla</t>
  </si>
  <si>
    <t xml:space="preserve">Catheine Restrepo </t>
  </si>
  <si>
    <t xml:space="preserve">Entrada triatletas </t>
  </si>
  <si>
    <t>Entrada nadadores</t>
  </si>
  <si>
    <t xml:space="preserve">Promedio entradas mensual </t>
  </si>
  <si>
    <t xml:space="preserve">Costos piscina mensual </t>
  </si>
  <si>
    <t>Pago promedio mensual</t>
  </si>
  <si>
    <t xml:space="preserve">Quedo a favor </t>
  </si>
  <si>
    <t xml:space="preserve">Honorarios restantes Alejo </t>
  </si>
  <si>
    <t>Sedbastian MArtheyn</t>
  </si>
  <si>
    <t xml:space="preserve">Nadadores + triatletas </t>
  </si>
  <si>
    <t xml:space="preserve"> Jaritza Duque</t>
  </si>
  <si>
    <t xml:space="preserve">Gastos piscina </t>
  </si>
  <si>
    <t xml:space="preserve">Balance total </t>
  </si>
  <si>
    <t xml:space="preserve">% que se invirtio en pago de honorarios referente a lo que entra </t>
  </si>
  <si>
    <t>Felipe Salzar</t>
  </si>
  <si>
    <t>Rengifo</t>
  </si>
  <si>
    <t xml:space="preserve">restante año </t>
  </si>
  <si>
    <t xml:space="preserve">Juliana Mejia </t>
  </si>
  <si>
    <t xml:space="preserve">Valentina Quintero </t>
  </si>
  <si>
    <t>David Hernandz</t>
  </si>
  <si>
    <t xml:space="preserve">TOTAL ENTRO </t>
  </si>
  <si>
    <t>en 2 transfers</t>
  </si>
  <si>
    <t xml:space="preserve">Pisicnas </t>
  </si>
  <si>
    <t xml:space="preserve">Shirley </t>
  </si>
  <si>
    <t xml:space="preserve">Carlos transfirio </t>
  </si>
  <si>
    <t xml:space="preserve">Total </t>
  </si>
  <si>
    <t xml:space="preserve">PAGO PISCINAS </t>
  </si>
  <si>
    <t>HONORARIOS EVE</t>
  </si>
  <si>
    <t xml:space="preserve">Alejandro bedoya hizo </t>
  </si>
  <si>
    <t>dos pagos en este corte, nov y dic</t>
  </si>
  <si>
    <t xml:space="preserve">PROMEDIOS NETOS </t>
  </si>
  <si>
    <t xml:space="preserve">TRI </t>
  </si>
  <si>
    <t xml:space="preserve">CICLISMO </t>
  </si>
  <si>
    <t>PROM / MES</t>
  </si>
  <si>
    <t xml:space="preserve">CARLOS </t>
  </si>
  <si>
    <t>CHAPI</t>
  </si>
  <si>
    <t>2019-2020</t>
  </si>
  <si>
    <t xml:space="preserve">%CRECIMIENTO </t>
  </si>
  <si>
    <t xml:space="preserve">CHAPI </t>
  </si>
  <si>
    <t xml:space="preserve">ALEJO </t>
  </si>
  <si>
    <t>2020-2021</t>
  </si>
  <si>
    <t>CARLOS ZULUAGA</t>
  </si>
  <si>
    <t xml:space="preserve">EVA </t>
  </si>
  <si>
    <t xml:space="preserve">CARLOS CABRERA </t>
  </si>
  <si>
    <t>2021-2022</t>
  </si>
  <si>
    <t xml:space="preserve">CARLOS ZULUAGA </t>
  </si>
  <si>
    <t>2022-2023</t>
  </si>
  <si>
    <t>PROM/MES</t>
  </si>
  <si>
    <t>EVELYN FIGUEROA</t>
  </si>
  <si>
    <t>ALEJANDRO DURANGO</t>
  </si>
  <si>
    <t>2023-2024</t>
  </si>
  <si>
    <t>2024-2025</t>
  </si>
  <si>
    <t>`</t>
  </si>
  <si>
    <t xml:space="preserve">CUENTAS CARLOS ZULUAGA 2025  </t>
  </si>
  <si>
    <t>TOTALES</t>
  </si>
  <si>
    <t>ALI PALENCIA</t>
  </si>
  <si>
    <t>ALEX CASTAÑO</t>
  </si>
  <si>
    <t>ANDREA CASTAÑO</t>
  </si>
  <si>
    <t xml:space="preserve">ANDREA CALLE </t>
  </si>
  <si>
    <t>ANA MARIA ACEVEDO</t>
  </si>
  <si>
    <t>CARLOS LONDOÑO</t>
  </si>
  <si>
    <t>DANIELA ROMERO</t>
  </si>
  <si>
    <t>DANILO GIRALDO</t>
  </si>
  <si>
    <t>DIANA MARCELA VICTORIA</t>
  </si>
  <si>
    <t>FELIPE RAMIREZ</t>
  </si>
  <si>
    <t xml:space="preserve">JENNY CONTRERAS </t>
  </si>
  <si>
    <t>JORGE GAITAN</t>
  </si>
  <si>
    <t>JUAN JOSE HINCAPIE</t>
  </si>
  <si>
    <t>JUAN SEBASTIAN BUITRAGO</t>
  </si>
  <si>
    <t>LORENA PALMA</t>
  </si>
  <si>
    <t xml:space="preserve">LUCHO DE LA TORRE </t>
  </si>
  <si>
    <t>MARLON GIRALDO</t>
  </si>
  <si>
    <t>MANUELA RODRIGUEZ</t>
  </si>
  <si>
    <t>MANUEL MACHADO</t>
  </si>
  <si>
    <t>MIRIAM LOPEZ</t>
  </si>
  <si>
    <t>NATHAN POLO</t>
  </si>
  <si>
    <t>NELSON BEJARANO</t>
  </si>
  <si>
    <t>NICOLAS RODRIGUEZ</t>
  </si>
  <si>
    <t>RICARDO GALINDO</t>
  </si>
  <si>
    <t>RICARDO CAROSSINO</t>
  </si>
  <si>
    <t>RICHART ESCOBAR</t>
  </si>
  <si>
    <t>SUSANA MORALES</t>
  </si>
  <si>
    <t>VICTOR GONZALEZ</t>
  </si>
  <si>
    <t xml:space="preserve">PAGARON EN PESOS </t>
  </si>
  <si>
    <t>PAGARON EN DOLARES</t>
  </si>
  <si>
    <t>INGRESOS EXTRAS</t>
  </si>
  <si>
    <t>ALPHAX</t>
  </si>
  <si>
    <t>CUENTAS CARLOS ZULUAGA 2026</t>
  </si>
  <si>
    <t>ALVARO OSPINA</t>
  </si>
  <si>
    <t>CATALINA RODRIGUEZ</t>
  </si>
  <si>
    <t xml:space="preserve">DANILO GIRALDO </t>
  </si>
  <si>
    <t>´</t>
  </si>
  <si>
    <t>JHON ROJAS</t>
  </si>
  <si>
    <t xml:space="preserve">JOE SUAREZ </t>
  </si>
  <si>
    <t xml:space="preserve">LUCAS ANGULO </t>
  </si>
  <si>
    <t>SANDRA BAYONA</t>
  </si>
  <si>
    <t xml:space="preserve">VENTA DE PRODUCTOS </t>
  </si>
  <si>
    <t>ENTRO EN DOLARES</t>
  </si>
  <si>
    <t>CUENTAS 2026 ALEJANDRO DURANGO</t>
  </si>
  <si>
    <t>ANA MARIA ORTIZ</t>
  </si>
  <si>
    <t>ERWIN LINGG</t>
  </si>
  <si>
    <t>JUANITA MESA</t>
  </si>
  <si>
    <t>JOHN FARFAN</t>
  </si>
  <si>
    <t>JORGE VILLEGAS</t>
  </si>
  <si>
    <t>JUSTIN LEWITS</t>
  </si>
  <si>
    <t xml:space="preserve">NATALIA CRUZ </t>
  </si>
  <si>
    <t>SANTIAGO ARANGO</t>
  </si>
  <si>
    <t xml:space="preserve">SEBASTIAN TORRES </t>
  </si>
  <si>
    <t>THOMAS RENGIFO</t>
  </si>
  <si>
    <t>VERONICA LONDOÑO</t>
  </si>
  <si>
    <t xml:space="preserve">HONORARIOS ALEJANDRO </t>
  </si>
  <si>
    <t xml:space="preserve">Entro a cuenta de Carlos </t>
  </si>
  <si>
    <t xml:space="preserve">Entro a cuenta de Alejandro </t>
  </si>
  <si>
    <t xml:space="preserve">Alejandro Pago </t>
  </si>
  <si>
    <t xml:space="preserve">Entro neto a Alejandro </t>
  </si>
  <si>
    <t>Mita de gastos -(aprendizaje)</t>
  </si>
  <si>
    <t xml:space="preserve">Honorarios Netos de Alejandro </t>
  </si>
  <si>
    <t>ISABEL QUINTERO</t>
  </si>
  <si>
    <t xml:space="preserve">PABLO MARIA </t>
  </si>
  <si>
    <t>SEBASTIAN VARGAS</t>
  </si>
  <si>
    <t>CLASES INDIVIDUALES</t>
  </si>
  <si>
    <t xml:space="preserve">TRAININGPEAKS </t>
  </si>
  <si>
    <t>PAGO PROFE NATACION</t>
  </si>
  <si>
    <t>TOTAL GASTOS</t>
  </si>
  <si>
    <t xml:space="preserve">ENTRO DE NADADORES </t>
  </si>
  <si>
    <t xml:space="preserve">TOTAL GASTOS - ENTRADAS </t>
  </si>
  <si>
    <t>NADADORES BODYTECH</t>
  </si>
  <si>
    <t>CUENTAS 2025 ALEJANDRO DURANGO / EVELYN FIGUEROA</t>
  </si>
  <si>
    <t>ANDRES ARANGO</t>
  </si>
  <si>
    <t>ANDRES VELASQUEZ</t>
  </si>
  <si>
    <t>CLAUDIA VARGAS</t>
  </si>
  <si>
    <t>JUSTIN</t>
  </si>
  <si>
    <t>MARIA ANTONIA VELASQUEZ</t>
  </si>
  <si>
    <t>MARIA FERNANDA GARCIA</t>
  </si>
  <si>
    <t xml:space="preserve">MARISOL MONTOYA </t>
  </si>
  <si>
    <t xml:space="preserve">JOSE MANUEL QUINTERO </t>
  </si>
  <si>
    <t xml:space="preserve">OSCAR SANTOS </t>
  </si>
  <si>
    <t xml:space="preserve">SARA CHAVARRIA  </t>
  </si>
  <si>
    <t>SEBASTIAN DELGADO</t>
  </si>
  <si>
    <t>SYLDANA CAÑAS</t>
  </si>
  <si>
    <t>Total Atletas alejandro octubre</t>
  </si>
  <si>
    <t>Descuento del 20% octubre</t>
  </si>
  <si>
    <t xml:space="preserve">RECIBIO ALEJO DE TIQUETERAS </t>
  </si>
  <si>
    <t>A CUENTA DE CARLOS U OTROS</t>
  </si>
  <si>
    <t>escenario -15%</t>
  </si>
  <si>
    <t xml:space="preserve">ENTRO A CUENTA DE ALEJO </t>
  </si>
  <si>
    <t>Descuento del 15% octubre</t>
  </si>
  <si>
    <t xml:space="preserve">ALEJANDRO PAGÓ </t>
  </si>
  <si>
    <t>ENTRO NETO A ALEJANDRO</t>
  </si>
  <si>
    <t>Diferencia del 15-20%</t>
  </si>
  <si>
    <t xml:space="preserve">MITAD DE GASTOS </t>
  </si>
  <si>
    <t xml:space="preserve">HONORARIOS NETOS ALEJANDRO  </t>
  </si>
  <si>
    <t>SALDO A FAVOR O EN CONTRA</t>
  </si>
  <si>
    <t xml:space="preserve">APRENDIZAJE  </t>
  </si>
  <si>
    <t xml:space="preserve">Costo profesor 8 clases mes </t>
  </si>
  <si>
    <t>DANIELA SANTANA</t>
  </si>
  <si>
    <t xml:space="preserve">Aprendizaje hasta 6 alumnos </t>
  </si>
  <si>
    <t>Costo mensual 1 carril</t>
  </si>
  <si>
    <t>NICOLE SIERRA</t>
  </si>
  <si>
    <t>Costo mensual 2 carriles</t>
  </si>
  <si>
    <t xml:space="preserve"> </t>
  </si>
  <si>
    <t xml:space="preserve">por 10 alumnos </t>
  </si>
  <si>
    <t xml:space="preserve">SARA HINCAPIE </t>
  </si>
  <si>
    <t xml:space="preserve">gastos espacio  </t>
  </si>
  <si>
    <t xml:space="preserve">gastos profesor </t>
  </si>
  <si>
    <t>JENIFER SERRANO</t>
  </si>
  <si>
    <t xml:space="preserve">Saldo a favor </t>
  </si>
  <si>
    <t>Aprendizaje 4 alumnos</t>
  </si>
  <si>
    <t xml:space="preserve">TOTAL EVENLYN </t>
  </si>
  <si>
    <t xml:space="preserve">Minimo 4 alumnos para mantenerse en aprendizaje </t>
  </si>
  <si>
    <t>TOTAL ENTRO A CUENTA DE ALEJANDRO DE ALUMNOS DE EVELYN</t>
  </si>
  <si>
    <t xml:space="preserve">APRENDIZAJE + TRI MISMO ESPACIO </t>
  </si>
  <si>
    <t xml:space="preserve">ENTRO A CUENTA DE EVELYN </t>
  </si>
  <si>
    <t xml:space="preserve">TOTAL HONORARIOS EVE CON REDES </t>
  </si>
  <si>
    <t xml:space="preserve">6 alumnos de triatlon </t>
  </si>
  <si>
    <t>PROMEDIO MES</t>
  </si>
  <si>
    <t xml:space="preserve">Utilidad </t>
  </si>
  <si>
    <t xml:space="preserve">Costo carril x dia  </t>
  </si>
  <si>
    <t xml:space="preserve">Profesor diario </t>
  </si>
  <si>
    <t xml:space="preserve">Total costo dia </t>
  </si>
  <si>
    <t>ENTRO NETO DE TIQUETERAS</t>
  </si>
  <si>
    <t xml:space="preserve">GASTOS NETOS </t>
  </si>
  <si>
    <t xml:space="preserve">Dividido 4 deportistas </t>
  </si>
  <si>
    <t xml:space="preserve">ENTRO DE NADADORES DICIEMBRE </t>
  </si>
  <si>
    <t xml:space="preserve">Dividido 5 deportistas </t>
  </si>
  <si>
    <t xml:space="preserve">Dividido 6 deportistas </t>
  </si>
  <si>
    <t xml:space="preserve">Pago Neto Piscinas - tiqueteras </t>
  </si>
  <si>
    <t xml:space="preserve">costo carril x mes </t>
  </si>
  <si>
    <t xml:space="preserve">Profesor mensual </t>
  </si>
  <si>
    <t xml:space="preserve">Total x mes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</si>
</sst>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"/>
    <numFmt numFmtId="165" formatCode="dd/mm"/>
    <numFmt numFmtId="166" formatCode="[$ $]#,##0"/>
    <numFmt numFmtId="167" formatCode="mm/dd"/>
    <numFmt numFmtId="168" formatCode="d/m"/>
    <numFmt numFmtId="169" formatCode="d mmm"/>
  </numFmts>
  <fonts count="30">
    <font>
      <sz val="10.0"/>
      <color rgb="FF000000"/>
      <name val="Arial"/>
    </font>
    <font>
      <sz val="12.0"/>
      <color rgb="FF000000"/>
      <name val="Trebuchet MS"/>
    </font>
    <font>
      <color rgb="FF000000"/>
    </font>
    <font>
      <b/>
    </font>
    <font/>
    <font>
      <b/>
      <sz val="12.0"/>
      <color rgb="FFFFFFFF"/>
      <name val="Trebuchet MS"/>
    </font>
    <font>
      <color rgb="FFFF0000"/>
    </font>
    <font>
      <sz val="30.0"/>
      <color rgb="FFFFFFFF"/>
      <name val="&quot;YAD7QhG2T6o 0&quot;"/>
    </font>
    <font>
      <sz val="11.0"/>
      <color rgb="FF000000"/>
      <name val="Arial"/>
    </font>
    <font>
      <sz val="11.0"/>
      <color rgb="FF000000"/>
      <name val="&quot;adobe gothic std b&quot;"/>
    </font>
    <font>
      <b/>
      <color rgb="FFFFFFFF"/>
      <name val="Roboto"/>
    </font>
    <font>
      <color rgb="FF434343"/>
      <name val="Roboto"/>
    </font>
    <font>
      <color rgb="FF000000"/>
      <name val="Roboto"/>
    </font>
    <font>
      <color rgb="FFFFFFFF"/>
      <name val="Roboto"/>
    </font>
    <font>
      <i/>
    </font>
    <font>
      <b/>
      <i/>
    </font>
    <font>
      <color rgb="FF000000"/>
      <name val="Arial"/>
    </font>
    <font>
      <b/>
      <i/>
      <sz val="12.0"/>
      <color rgb="FF000000"/>
      <name val="Trebuchet MS"/>
    </font>
    <font>
      <b/>
      <color rgb="FFFFFFFF"/>
      <name val="Lexend"/>
    </font>
    <font>
      <color rgb="FF434343"/>
      <name val="Lexend"/>
    </font>
    <font>
      <color rgb="FF000000"/>
      <name val="Lexend"/>
    </font>
    <font>
      <b/>
      <i/>
      <color rgb="FF434343"/>
      <name val="Lexend"/>
    </font>
    <font>
      <name val="Lexend"/>
    </font>
    <font>
      <color rgb="FF93C47D"/>
      <name val="Lexend"/>
    </font>
    <font>
      <b/>
      <i/>
      <sz val="12.0"/>
      <color rgb="FF000000"/>
      <name val="Lexend"/>
    </font>
    <font>
      <color rgb="FFD9D9D9"/>
      <name val="Lexend"/>
    </font>
    <font>
      <i/>
      <name val="Lexend"/>
    </font>
    <font>
      <b/>
      <name val="Lexend"/>
    </font>
    <font>
      <sz val="7.0"/>
      <name val="Lexend"/>
    </font>
    <font>
      <b/>
      <i/>
      <name val="Lexend"/>
    </font>
  </fonts>
  <fills count="2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18587A"/>
        <bgColor rgb="FF18587A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0AF00A"/>
        <bgColor rgb="FF0AF00A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  <fill>
      <patternFill patternType="solid">
        <fgColor rgb="FF9EDD0B"/>
        <bgColor rgb="FF9EDD0B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1" fillId="2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3" fontId="4" numFmtId="164" xfId="0" applyAlignment="1" applyBorder="1" applyFill="1" applyFont="1" applyNumberForma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3" fontId="4" numFmtId="164" xfId="0" applyBorder="1" applyFont="1" applyNumberFormat="1"/>
    <xf borderId="1" fillId="0" fontId="4" numFmtId="164" xfId="0" applyBorder="1" applyFont="1" applyNumberFormat="1"/>
    <xf borderId="1" fillId="2" fontId="4" numFmtId="0" xfId="0" applyAlignment="1" applyBorder="1" applyFont="1">
      <alignment readingOrder="0"/>
    </xf>
    <xf borderId="1" fillId="2" fontId="4" numFmtId="164" xfId="0" applyBorder="1" applyFont="1" applyNumberFormat="1"/>
    <xf borderId="0" fillId="0" fontId="4" numFmtId="164" xfId="0" applyFont="1" applyNumberFormat="1"/>
    <xf borderId="1" fillId="3" fontId="4" numFmtId="0" xfId="0" applyAlignment="1" applyBorder="1" applyFont="1">
      <alignment readingOrder="0"/>
    </xf>
    <xf borderId="1" fillId="3" fontId="4" numFmtId="164" xfId="0" applyAlignment="1" applyBorder="1" applyFont="1" applyNumberFormat="1">
      <alignment readingOrder="0"/>
    </xf>
    <xf borderId="1" fillId="0" fontId="4" numFmtId="0" xfId="0" applyBorder="1" applyFont="1"/>
    <xf borderId="1" fillId="4" fontId="4" numFmtId="0" xfId="0" applyAlignment="1" applyBorder="1" applyFill="1" applyFont="1">
      <alignment readingOrder="0"/>
    </xf>
    <xf borderId="1" fillId="4" fontId="4" numFmtId="164" xfId="0" applyBorder="1" applyFont="1" applyNumberFormat="1"/>
    <xf borderId="0" fillId="0" fontId="4" numFmtId="0" xfId="0" applyAlignment="1" applyFont="1">
      <alignment readingOrder="0"/>
    </xf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4" fontId="4" numFmtId="164" xfId="0" applyFont="1" applyNumberFormat="1"/>
    <xf borderId="0" fillId="0" fontId="2" numFmtId="0" xfId="0" applyAlignment="1" applyFont="1">
      <alignment horizontal="left"/>
    </xf>
    <xf borderId="0" fillId="2" fontId="4" numFmtId="0" xfId="0" applyFont="1"/>
    <xf borderId="1" fillId="3" fontId="4" numFmtId="0" xfId="0" applyBorder="1" applyFont="1"/>
    <xf borderId="1" fillId="5" fontId="4" numFmtId="0" xfId="0" applyAlignment="1" applyBorder="1" applyFill="1" applyFont="1">
      <alignment readingOrder="0"/>
    </xf>
    <xf borderId="1" fillId="5" fontId="4" numFmtId="164" xfId="0" applyAlignment="1" applyBorder="1" applyFont="1" applyNumberFormat="1">
      <alignment readingOrder="0"/>
    </xf>
    <xf borderId="1" fillId="5" fontId="4" numFmtId="164" xfId="0" applyBorder="1" applyFont="1" applyNumberFormat="1"/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9" fontId="4" numFmtId="0" xfId="0" applyFill="1" applyFont="1"/>
    <xf borderId="0" fillId="9" fontId="2" numFmtId="0" xfId="0" applyAlignment="1" applyFont="1">
      <alignment horizontal="left"/>
    </xf>
    <xf borderId="0" fillId="9" fontId="5" numFmtId="0" xfId="0" applyAlignment="1" applyFont="1">
      <alignment horizontal="left" readingOrder="0"/>
    </xf>
    <xf borderId="1" fillId="4" fontId="4" numFmtId="164" xfId="0" applyAlignment="1" applyBorder="1" applyFont="1" applyNumberFormat="1">
      <alignment readingOrder="0"/>
    </xf>
    <xf borderId="1" fillId="3" fontId="6" numFmtId="164" xfId="0" applyAlignment="1" applyBorder="1" applyFont="1" applyNumberFormat="1">
      <alignment readingOrder="0"/>
    </xf>
    <xf borderId="1" fillId="10" fontId="4" numFmtId="164" xfId="0" applyAlignment="1" applyBorder="1" applyFill="1" applyFont="1" applyNumberFormat="1">
      <alignment readingOrder="0"/>
    </xf>
    <xf borderId="1" fillId="10" fontId="4" numFmtId="0" xfId="0" applyAlignment="1" applyBorder="1" applyFont="1">
      <alignment readingOrder="0"/>
    </xf>
    <xf borderId="1" fillId="1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164" xfId="0" applyBorder="1" applyFont="1" applyNumberFormat="1"/>
    <xf borderId="0" fillId="2" fontId="4" numFmtId="164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2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1" fillId="11" fontId="4" numFmtId="164" xfId="0" applyAlignment="1" applyBorder="1" applyFill="1" applyFont="1" applyNumberFormat="1">
      <alignment readingOrder="0"/>
    </xf>
    <xf borderId="1" fillId="10" fontId="4" numFmtId="164" xfId="0" applyAlignment="1" applyBorder="1" applyFont="1" applyNumberFormat="1">
      <alignment horizontal="center" readingOrder="0"/>
    </xf>
    <xf borderId="1" fillId="12" fontId="4" numFmtId="164" xfId="0" applyAlignment="1" applyBorder="1" applyFill="1" applyFont="1" applyNumberFormat="1">
      <alignment readingOrder="0"/>
    </xf>
    <xf borderId="1" fillId="13" fontId="4" numFmtId="0" xfId="0" applyAlignment="1" applyBorder="1" applyFill="1" applyFont="1">
      <alignment readingOrder="0"/>
    </xf>
    <xf borderId="1" fillId="13" fontId="4" numFmtId="164" xfId="0" applyAlignment="1" applyBorder="1" applyFont="1" applyNumberFormat="1">
      <alignment readingOrder="0"/>
    </xf>
    <xf borderId="1" fillId="14" fontId="4" numFmtId="164" xfId="0" applyAlignment="1" applyBorder="1" applyFill="1" applyFont="1" applyNumberFormat="1">
      <alignment readingOrder="0"/>
    </xf>
    <xf borderId="1" fillId="3" fontId="2" numFmtId="0" xfId="0" applyAlignment="1" applyBorder="1" applyFont="1">
      <alignment readingOrder="0"/>
    </xf>
    <xf borderId="1" fillId="15" fontId="4" numFmtId="164" xfId="0" applyAlignment="1" applyBorder="1" applyFill="1" applyFont="1" applyNumberFormat="1">
      <alignment readingOrder="0"/>
    </xf>
    <xf borderId="1" fillId="1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16" fontId="4" numFmtId="164" xfId="0" applyAlignment="1" applyBorder="1" applyFill="1" applyFont="1" applyNumberFormat="1">
      <alignment readingOrder="0"/>
    </xf>
    <xf borderId="1" fillId="14" fontId="4" numFmtId="0" xfId="0" applyAlignment="1" applyBorder="1" applyFont="1">
      <alignment readingOrder="0"/>
    </xf>
    <xf borderId="1" fillId="17" fontId="4" numFmtId="164" xfId="0" applyAlignment="1" applyBorder="1" applyFill="1" applyFont="1" applyNumberFormat="1">
      <alignment readingOrder="0"/>
    </xf>
    <xf borderId="1" fillId="0" fontId="4" numFmtId="166" xfId="0" applyAlignment="1" applyBorder="1" applyFont="1" applyNumberFormat="1">
      <alignment readingOrder="0"/>
    </xf>
    <xf borderId="0" fillId="13" fontId="4" numFmtId="0" xfId="0" applyAlignment="1" applyFont="1">
      <alignment readingOrder="0"/>
    </xf>
    <xf borderId="0" fillId="0" fontId="4" numFmtId="166" xfId="0" applyFont="1" applyNumberFormat="1"/>
    <xf borderId="0" fillId="10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12" fontId="4" numFmtId="0" xfId="0" applyAlignment="1" applyFont="1">
      <alignment readingOrder="0"/>
    </xf>
    <xf borderId="0" fillId="14" fontId="4" numFmtId="0" xfId="0" applyAlignment="1" applyFont="1">
      <alignment readingOrder="0"/>
    </xf>
    <xf borderId="0" fillId="4" fontId="4" numFmtId="3" xfId="0" applyAlignment="1" applyFont="1" applyNumberFormat="1">
      <alignment readingOrder="0"/>
    </xf>
    <xf borderId="0" fillId="0" fontId="4" numFmtId="166" xfId="0" applyFont="1" applyNumberFormat="1"/>
    <xf borderId="0" fillId="0" fontId="4" numFmtId="20" xfId="0" applyAlignment="1" applyFont="1" applyNumberFormat="1">
      <alignment readingOrder="0"/>
    </xf>
    <xf borderId="0" fillId="0" fontId="4" numFmtId="46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46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4" numFmtId="49" xfId="0" applyAlignment="1" applyFont="1" applyNumberFormat="1">
      <alignment horizontal="right" readingOrder="0"/>
    </xf>
    <xf borderId="1" fillId="18" fontId="4" numFmtId="0" xfId="0" applyAlignment="1" applyBorder="1" applyFill="1" applyFont="1">
      <alignment readingOrder="0"/>
    </xf>
    <xf borderId="1" fillId="18" fontId="4" numFmtId="166" xfId="0" applyAlignment="1" applyBorder="1" applyFont="1" applyNumberFormat="1">
      <alignment readingOrder="0"/>
    </xf>
    <xf borderId="1" fillId="4" fontId="4" numFmtId="166" xfId="0" applyAlignment="1" applyBorder="1" applyFont="1" applyNumberFormat="1">
      <alignment readingOrder="0"/>
    </xf>
    <xf borderId="1" fillId="3" fontId="4" numFmtId="166" xfId="0" applyAlignment="1" applyBorder="1" applyFont="1" applyNumberFormat="1">
      <alignment readingOrder="0"/>
    </xf>
    <xf borderId="1" fillId="2" fontId="4" numFmtId="166" xfId="0" applyAlignment="1" applyBorder="1" applyFont="1" applyNumberFormat="1">
      <alignment readingOrder="0"/>
    </xf>
    <xf borderId="1" fillId="10" fontId="4" numFmtId="166" xfId="0" applyAlignment="1" applyBorder="1" applyFont="1" applyNumberFormat="1">
      <alignment readingOrder="0"/>
    </xf>
    <xf borderId="1" fillId="10" fontId="2" numFmtId="166" xfId="0" applyAlignment="1" applyBorder="1" applyFont="1" applyNumberFormat="1">
      <alignment readingOrder="0"/>
    </xf>
    <xf borderId="1" fillId="3" fontId="2" numFmtId="166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15" fontId="4" numFmtId="166" xfId="0" applyAlignment="1" applyBorder="1" applyFont="1" applyNumberFormat="1">
      <alignment readingOrder="0"/>
    </xf>
    <xf borderId="1" fillId="3" fontId="6" numFmtId="166" xfId="0" applyAlignment="1" applyBorder="1" applyFont="1" applyNumberFormat="1">
      <alignment readingOrder="0"/>
    </xf>
    <xf borderId="1" fillId="0" fontId="4" numFmtId="166" xfId="0" applyAlignment="1" applyBorder="1" applyFont="1" applyNumberFormat="1">
      <alignment horizontal="right" readingOrder="0"/>
    </xf>
    <xf borderId="1" fillId="12" fontId="2" numFmtId="166" xfId="0" applyAlignment="1" applyBorder="1" applyFont="1" applyNumberFormat="1">
      <alignment readingOrder="0"/>
    </xf>
    <xf borderId="1" fillId="12" fontId="4" numFmtId="166" xfId="0" applyAlignment="1" applyBorder="1" applyFont="1" applyNumberFormat="1">
      <alignment readingOrder="0"/>
    </xf>
    <xf borderId="1" fillId="14" fontId="4" numFmtId="166" xfId="0" applyAlignment="1" applyBorder="1" applyFont="1" applyNumberFormat="1">
      <alignment readingOrder="0"/>
    </xf>
    <xf borderId="1" fillId="14" fontId="2" numFmtId="166" xfId="0" applyAlignment="1" applyBorder="1" applyFont="1" applyNumberFormat="1">
      <alignment readingOrder="0"/>
    </xf>
    <xf borderId="0" fillId="19" fontId="4" numFmtId="0" xfId="0" applyAlignment="1" applyFill="1" applyFont="1">
      <alignment readingOrder="0"/>
    </xf>
    <xf borderId="1" fillId="2" fontId="4" numFmtId="166" xfId="0" applyBorder="1" applyFont="1" applyNumberFormat="1"/>
    <xf borderId="0" fillId="19" fontId="4" numFmtId="166" xfId="0" applyFont="1" applyNumberFormat="1"/>
    <xf borderId="0" fillId="19" fontId="4" numFmtId="0" xfId="0" applyFont="1"/>
    <xf borderId="1" fillId="3" fontId="4" numFmtId="166" xfId="0" applyBorder="1" applyFont="1" applyNumberFormat="1"/>
    <xf borderId="1" fillId="4" fontId="4" numFmtId="166" xfId="0" applyBorder="1" applyFont="1" applyNumberFormat="1"/>
    <xf borderId="0" fillId="13" fontId="4" numFmtId="0" xfId="0" applyAlignment="1" applyFont="1">
      <alignment horizontal="right" readingOrder="0"/>
    </xf>
    <xf borderId="0" fillId="13" fontId="4" numFmtId="10" xfId="0" applyFont="1" applyNumberFormat="1"/>
    <xf borderId="0" fillId="4" fontId="4" numFmtId="166" xfId="0" applyFont="1" applyNumberFormat="1"/>
    <xf borderId="0" fillId="3" fontId="4" numFmtId="166" xfId="0" applyFont="1" applyNumberFormat="1"/>
    <xf borderId="0" fillId="20" fontId="4" numFmtId="166" xfId="0" applyFill="1" applyFont="1" applyNumberFormat="1"/>
    <xf borderId="0" fillId="16" fontId="4" numFmtId="0" xfId="0" applyAlignment="1" applyFont="1">
      <alignment readingOrder="0"/>
    </xf>
    <xf borderId="0" fillId="16" fontId="4" numFmtId="0" xfId="0" applyFont="1"/>
    <xf borderId="0" fillId="16" fontId="2" numFmtId="0" xfId="0" applyAlignment="1" applyFont="1">
      <alignment horizontal="left"/>
    </xf>
    <xf borderId="0" fillId="10" fontId="4" numFmtId="165" xfId="0" applyAlignment="1" applyFont="1" applyNumberFormat="1">
      <alignment readingOrder="0"/>
    </xf>
    <xf borderId="0" fillId="10" fontId="4" numFmtId="166" xfId="0" applyAlignment="1" applyFont="1" applyNumberFormat="1">
      <alignment readingOrder="0"/>
    </xf>
    <xf borderId="0" fillId="10" fontId="4" numFmtId="0" xfId="0" applyFont="1"/>
    <xf borderId="0" fillId="21" fontId="4" numFmtId="0" xfId="0" applyAlignment="1" applyFill="1" applyFont="1">
      <alignment readingOrder="0"/>
    </xf>
    <xf borderId="0" fillId="21" fontId="4" numFmtId="0" xfId="0" applyFont="1"/>
    <xf borderId="0" fillId="22" fontId="4" numFmtId="0" xfId="0" applyAlignment="1" applyFill="1" applyFont="1">
      <alignment readingOrder="0"/>
    </xf>
    <xf borderId="0" fillId="22" fontId="4" numFmtId="0" xfId="0" applyFont="1"/>
    <xf borderId="0" fillId="4" fontId="4" numFmtId="0" xfId="0" applyFont="1"/>
    <xf borderId="0" fillId="16" fontId="5" numFmtId="0" xfId="0" applyAlignment="1" applyFont="1">
      <alignment horizontal="left" readingOrder="0"/>
    </xf>
    <xf borderId="0" fillId="21" fontId="4" numFmtId="165" xfId="0" applyAlignment="1" applyFont="1" applyNumberFormat="1">
      <alignment readingOrder="0"/>
    </xf>
    <xf borderId="0" fillId="21" fontId="4" numFmtId="166" xfId="0" applyAlignment="1" applyFont="1" applyNumberFormat="1">
      <alignment readingOrder="0"/>
    </xf>
    <xf borderId="0" fillId="22" fontId="4" numFmtId="165" xfId="0" applyAlignment="1" applyFont="1" applyNumberFormat="1">
      <alignment readingOrder="0"/>
    </xf>
    <xf borderId="0" fillId="22" fontId="4" numFmtId="166" xfId="0" applyAlignment="1" applyFont="1" applyNumberFormat="1">
      <alignment readingOrder="0"/>
    </xf>
    <xf borderId="0" fillId="19" fontId="4" numFmtId="165" xfId="0" applyAlignment="1" applyFont="1" applyNumberFormat="1">
      <alignment readingOrder="0"/>
    </xf>
    <xf borderId="0" fillId="19" fontId="4" numFmtId="166" xfId="0" applyAlignment="1" applyFont="1" applyNumberFormat="1">
      <alignment readingOrder="0"/>
    </xf>
    <xf borderId="0" fillId="4" fontId="4" numFmtId="165" xfId="0" applyAlignment="1" applyFont="1" applyNumberFormat="1">
      <alignment readingOrder="0"/>
    </xf>
    <xf borderId="0" fillId="4" fontId="4" numFmtId="166" xfId="0" applyAlignment="1" applyFont="1" applyNumberFormat="1">
      <alignment readingOrder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1" fillId="23" fontId="11" numFmtId="0" xfId="0" applyAlignment="1" applyBorder="1" applyFill="1" applyFont="1">
      <alignment readingOrder="0" shrinkToFit="0" vertical="center" wrapText="0"/>
    </xf>
    <xf borderId="1" fillId="2" fontId="11" numFmtId="166" xfId="0" applyAlignment="1" applyBorder="1" applyFont="1" applyNumberForma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0"/>
    </xf>
    <xf borderId="1" fillId="3" fontId="11" numFmtId="166" xfId="0" applyAlignment="1" applyBorder="1" applyFont="1" applyNumberFormat="1">
      <alignment readingOrder="0" shrinkToFit="0" vertical="center" wrapText="0"/>
    </xf>
    <xf borderId="1" fillId="13" fontId="11" numFmtId="0" xfId="0" applyAlignment="1" applyBorder="1" applyFont="1">
      <alignment readingOrder="0" shrinkToFit="0" vertical="center" wrapText="0"/>
    </xf>
    <xf borderId="1" fillId="3" fontId="11" numFmtId="0" xfId="0" applyAlignment="1" applyBorder="1" applyFont="1">
      <alignment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21" fontId="4" numFmtId="167" xfId="0" applyAlignment="1" applyFont="1" applyNumberFormat="1">
      <alignment readingOrder="0"/>
    </xf>
    <xf borderId="0" fillId="4" fontId="4" numFmtId="167" xfId="0" applyAlignment="1" applyFont="1" applyNumberFormat="1">
      <alignment readingOrder="0"/>
    </xf>
    <xf borderId="0" fillId="10" fontId="4" numFmtId="166" xfId="0" applyFont="1" applyNumberFormat="1"/>
    <xf borderId="1" fillId="14" fontId="11" numFmtId="166" xfId="0" applyAlignment="1" applyBorder="1" applyFont="1" applyNumberFormat="1">
      <alignment readingOrder="0" shrinkToFit="0" vertical="center" wrapText="0"/>
    </xf>
    <xf borderId="0" fillId="21" fontId="4" numFmtId="166" xfId="0" applyFont="1" applyNumberFormat="1"/>
    <xf borderId="0" fillId="13" fontId="4" numFmtId="166" xfId="0" applyFont="1" applyNumberFormat="1"/>
    <xf borderId="0" fillId="22" fontId="4" numFmtId="166" xfId="0" applyFont="1" applyNumberFormat="1"/>
    <xf borderId="0" fillId="24" fontId="4" numFmtId="0" xfId="0" applyFill="1" applyFont="1"/>
    <xf borderId="0" fillId="4" fontId="4" numFmtId="49" xfId="0" applyAlignment="1" applyFont="1" applyNumberFormat="1">
      <alignment horizontal="right" readingOrder="0"/>
    </xf>
    <xf borderId="0" fillId="23" fontId="4" numFmtId="0" xfId="0" applyAlignment="1" applyFont="1">
      <alignment readingOrder="0"/>
    </xf>
    <xf borderId="0" fillId="23" fontId="4" numFmtId="166" xfId="0" applyAlignment="1" applyFont="1" applyNumberFormat="1">
      <alignment readingOrder="0"/>
    </xf>
    <xf borderId="0" fillId="23" fontId="4" numFmtId="0" xfId="0" applyFont="1"/>
    <xf borderId="0" fillId="23" fontId="4" numFmtId="166" xfId="0" applyFont="1" applyNumberFormat="1"/>
    <xf borderId="0" fillId="0" fontId="4" numFmtId="10" xfId="0" applyAlignment="1" applyFont="1" applyNumberFormat="1">
      <alignment readingOrder="0"/>
    </xf>
    <xf borderId="0" fillId="14" fontId="4" numFmtId="166" xfId="0" applyAlignment="1" applyFont="1" applyNumberFormat="1">
      <alignment readingOrder="0"/>
    </xf>
    <xf borderId="0" fillId="14" fontId="4" numFmtId="0" xfId="0" applyFont="1"/>
    <xf borderId="0" fillId="14" fontId="4" numFmtId="166" xfId="0" applyFont="1" applyNumberFormat="1"/>
    <xf borderId="0" fillId="0" fontId="4" numFmtId="166" xfId="0" applyAlignment="1" applyFont="1" applyNumberFormat="1">
      <alignment horizontal="right" readingOrder="0"/>
    </xf>
    <xf borderId="0" fillId="2" fontId="11" numFmtId="166" xfId="0" applyAlignment="1" applyFont="1" applyNumberForma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12" numFmtId="166" xfId="0" applyAlignment="1" applyBorder="1" applyFont="1" applyNumberFormat="1">
      <alignment readingOrder="0" shrinkToFit="0" vertical="center" wrapText="0"/>
    </xf>
    <xf borderId="1" fillId="0" fontId="11" numFmtId="166" xfId="0" applyAlignment="1" applyBorder="1" applyFont="1" applyNumberForma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" fillId="3" fontId="12" numFmtId="166" xfId="0" applyAlignment="1" applyBorder="1" applyFont="1" applyNumberFormat="1">
      <alignment readingOrder="0" shrinkToFit="0" vertical="center" wrapText="0"/>
    </xf>
    <xf borderId="1" fillId="10" fontId="11" numFmtId="0" xfId="0" applyAlignment="1" applyBorder="1" applyFont="1">
      <alignment readingOrder="0" shrinkToFit="0" vertical="center" wrapText="0"/>
    </xf>
    <xf borderId="0" fillId="0" fontId="11" numFmtId="166" xfId="0" applyAlignment="1" applyFont="1" applyNumberFormat="1">
      <alignment readingOrder="0" shrinkToFit="0" vertical="center" wrapText="0"/>
    </xf>
    <xf borderId="1" fillId="0" fontId="11" numFmtId="166" xfId="0" applyAlignment="1" applyBorder="1" applyFont="1" applyNumberFormat="1">
      <alignment horizontal="right" readingOrder="0" shrinkToFit="0" vertical="center" wrapText="0"/>
    </xf>
    <xf borderId="1" fillId="3" fontId="11" numFmtId="166" xfId="0" applyAlignment="1" applyBorder="1" applyFont="1" applyNumberFormat="1">
      <alignment horizontal="right" readingOrder="0" shrinkToFit="0" vertical="center" wrapText="0"/>
    </xf>
    <xf borderId="1" fillId="14" fontId="12" numFmtId="166" xfId="0" applyAlignment="1" applyBorder="1" applyFont="1" applyNumberFormat="1">
      <alignment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10" fontId="12" numFmtId="0" xfId="0" applyAlignment="1" applyBorder="1" applyFont="1">
      <alignment readingOrder="0" shrinkToFit="0" vertical="center" wrapText="0"/>
    </xf>
    <xf borderId="0" fillId="4" fontId="4" numFmtId="168" xfId="0" applyAlignment="1" applyFont="1" applyNumberFormat="1">
      <alignment readingOrder="0"/>
    </xf>
    <xf borderId="0" fillId="3" fontId="11" numFmtId="0" xfId="0" applyAlignment="1" applyFont="1">
      <alignment readingOrder="0" shrinkToFit="0" vertical="center" wrapText="0"/>
    </xf>
    <xf borderId="1" fillId="4" fontId="11" numFmtId="0" xfId="0" applyAlignment="1" applyBorder="1" applyFont="1">
      <alignment readingOrder="0" shrinkToFit="0" vertical="center" wrapText="0"/>
    </xf>
    <xf borderId="1" fillId="4" fontId="11" numFmtId="166" xfId="0" applyAlignment="1" applyBorder="1" applyFont="1" applyNumberFormat="1">
      <alignment shrinkToFit="0" vertical="center" wrapText="0"/>
    </xf>
    <xf borderId="0" fillId="4" fontId="11" numFmtId="166" xfId="0" applyAlignment="1" applyFont="1" applyNumberFormat="1">
      <alignment shrinkToFit="0" vertical="center" wrapText="0"/>
    </xf>
    <xf borderId="1" fillId="13" fontId="4" numFmtId="164" xfId="0" applyAlignment="1" applyBorder="1" applyFont="1" applyNumberFormat="1">
      <alignment horizontal="center" readingOrder="0"/>
    </xf>
    <xf borderId="1" fillId="25" fontId="4" numFmtId="0" xfId="0" applyAlignment="1" applyBorder="1" applyFill="1" applyFont="1">
      <alignment readingOrder="0"/>
    </xf>
    <xf borderId="1" fillId="25" fontId="4" numFmtId="166" xfId="0" applyBorder="1" applyFont="1" applyNumberFormat="1"/>
    <xf borderId="1" fillId="0" fontId="4" numFmtId="166" xfId="0" applyAlignment="1" applyBorder="1" applyFont="1" applyNumberFormat="1">
      <alignment horizontal="center" readingOrder="0"/>
    </xf>
    <xf borderId="0" fillId="21" fontId="8" numFmtId="0" xfId="0" applyAlignment="1" applyFont="1">
      <alignment readingOrder="0" vertical="bottom"/>
    </xf>
    <xf borderId="0" fillId="21" fontId="4" numFmtId="49" xfId="0" applyAlignment="1" applyFont="1" applyNumberFormat="1">
      <alignment horizontal="right" readingOrder="0"/>
    </xf>
    <xf borderId="0" fillId="4" fontId="8" numFmtId="0" xfId="0" applyAlignment="1" applyFont="1">
      <alignment readingOrder="0" vertical="bottom"/>
    </xf>
    <xf borderId="0" fillId="21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1" fillId="0" fontId="4" numFmtId="166" xfId="0" applyBorder="1" applyFont="1" applyNumberFormat="1"/>
    <xf borderId="0" fillId="13" fontId="13" numFmtId="0" xfId="0" applyAlignment="1" applyFont="1">
      <alignment horizontal="left" readingOrder="0" shrinkToFit="0" vertical="center" wrapText="0"/>
    </xf>
    <xf borderId="0" fillId="13" fontId="13" numFmtId="0" xfId="0" applyAlignment="1" applyFont="1">
      <alignment horizontal="left" readingOrder="0" shrinkToFit="0" vertical="center" wrapText="0"/>
    </xf>
    <xf borderId="1" fillId="13" fontId="4" numFmtId="166" xfId="0" applyAlignment="1" applyBorder="1" applyFont="1" applyNumberFormat="1">
      <alignment readingOrder="0"/>
    </xf>
    <xf borderId="0" fillId="13" fontId="11" numFmtId="0" xfId="0" applyAlignment="1" applyFont="1">
      <alignment readingOrder="0" shrinkToFit="0" vertical="center" wrapText="0"/>
    </xf>
    <xf borderId="0" fillId="13" fontId="11" numFmtId="168" xfId="0" applyAlignment="1" applyFont="1" applyNumberFormat="1">
      <alignment horizontal="right" readingOrder="0" shrinkToFit="0" vertical="center" wrapText="0"/>
    </xf>
    <xf borderId="0" fillId="13" fontId="11" numFmtId="166" xfId="0" applyAlignment="1" applyFont="1" applyNumberFormat="1">
      <alignment readingOrder="0" shrinkToFit="0" vertical="center" wrapText="0"/>
    </xf>
    <xf borderId="0" fillId="13" fontId="11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readingOrder="0"/>
    </xf>
    <xf borderId="0" fillId="0" fontId="4" numFmtId="168" xfId="0" applyAlignment="1" applyFont="1" applyNumberFormat="1">
      <alignment readingOrder="0"/>
    </xf>
    <xf borderId="0" fillId="13" fontId="11" numFmtId="0" xfId="0" applyAlignment="1" applyFont="1">
      <alignment horizontal="right" readingOrder="0" shrinkToFit="0" vertical="center" wrapText="0"/>
    </xf>
    <xf borderId="0" fillId="0" fontId="14" numFmtId="166" xfId="0" applyAlignment="1" applyFont="1" applyNumberFormat="1">
      <alignment readingOrder="0"/>
    </xf>
    <xf borderId="0" fillId="13" fontId="11" numFmtId="165" xfId="0" applyAlignment="1" applyFont="1" applyNumberFormat="1">
      <alignment horizontal="right" readingOrder="0" shrinkToFit="0" vertical="center" wrapText="0"/>
    </xf>
    <xf borderId="0" fillId="13" fontId="11" numFmtId="165" xfId="0" applyAlignment="1" applyFont="1" applyNumberFormat="1">
      <alignment readingOrder="0" shrinkToFit="0" vertical="center" wrapText="0"/>
    </xf>
    <xf borderId="0" fillId="8" fontId="4" numFmtId="166" xfId="0" applyFont="1" applyNumberFormat="1"/>
    <xf borderId="0" fillId="0" fontId="15" numFmtId="0" xfId="0" applyAlignment="1" applyFont="1">
      <alignment readingOrder="0"/>
    </xf>
    <xf borderId="0" fillId="0" fontId="4" numFmtId="0" xfId="0" applyAlignment="1" applyFont="1">
      <alignment readingOrder="0" shrinkToFit="0" vertical="top" wrapText="0"/>
    </xf>
    <xf borderId="0" fillId="0" fontId="15" numFmtId="166" xfId="0" applyFont="1" applyNumberFormat="1"/>
    <xf borderId="0" fillId="13" fontId="11" numFmtId="168" xfId="0" applyAlignment="1" applyFont="1" applyNumberFormat="1">
      <alignment readingOrder="0" shrinkToFit="0" vertical="center" wrapText="0"/>
    </xf>
    <xf borderId="0" fillId="13" fontId="16" numFmtId="0" xfId="0" applyAlignment="1" applyFont="1">
      <alignment readingOrder="0" shrinkToFit="0" vertical="center" wrapText="0"/>
    </xf>
    <xf borderId="0" fillId="13" fontId="11" numFmtId="166" xfId="0" applyAlignment="1" applyFont="1" applyNumberFormat="1">
      <alignment shrinkToFit="0" vertical="center" wrapText="0"/>
    </xf>
    <xf borderId="0" fillId="4" fontId="4" numFmtId="166" xfId="0" applyAlignment="1" applyFont="1" applyNumberFormat="1">
      <alignment horizontal="right" readingOrder="0"/>
    </xf>
    <xf borderId="0" fillId="13" fontId="4" numFmtId="0" xfId="0" applyFont="1"/>
    <xf borderId="0" fillId="13" fontId="4" numFmtId="166" xfId="0" applyAlignment="1" applyFont="1" applyNumberFormat="1">
      <alignment horizontal="right" readingOrder="0"/>
    </xf>
    <xf borderId="0" fillId="15" fontId="4" numFmtId="166" xfId="0" applyFont="1" applyNumberFormat="1"/>
    <xf borderId="0" fillId="4" fontId="4" numFmtId="166" xfId="0" applyFont="1" applyNumberFormat="1"/>
    <xf borderId="0" fillId="13" fontId="4" numFmtId="166" xfId="0" applyAlignment="1" applyFont="1" applyNumberFormat="1">
      <alignment readingOrder="0"/>
    </xf>
    <xf borderId="0" fillId="15" fontId="4" numFmtId="166" xfId="0" applyFont="1" applyNumberFormat="1"/>
    <xf borderId="0" fillId="2" fontId="4" numFmtId="166" xfId="0" applyAlignment="1" applyFont="1" applyNumberFormat="1">
      <alignment readingOrder="0"/>
    </xf>
    <xf borderId="0" fillId="2" fontId="4" numFmtId="166" xfId="0" applyFont="1" applyNumberFormat="1"/>
    <xf borderId="0" fillId="5" fontId="4" numFmtId="0" xfId="0" applyAlignment="1" applyFont="1">
      <alignment readingOrder="0"/>
    </xf>
    <xf borderId="0" fillId="5" fontId="4" numFmtId="166" xfId="0" applyFont="1" applyNumberFormat="1"/>
    <xf borderId="0" fillId="26" fontId="4" numFmtId="0" xfId="0" applyAlignment="1" applyFill="1" applyFont="1">
      <alignment readingOrder="0"/>
    </xf>
    <xf borderId="0" fillId="26" fontId="4" numFmtId="0" xfId="0" applyFont="1"/>
    <xf borderId="0" fillId="26" fontId="2" numFmtId="0" xfId="0" applyAlignment="1" applyFont="1">
      <alignment horizontal="left"/>
    </xf>
    <xf borderId="0" fillId="26" fontId="17" numFmtId="0" xfId="0" applyAlignment="1" applyFont="1">
      <alignment horizontal="left" readingOrder="0"/>
    </xf>
    <xf borderId="0" fillId="0" fontId="18" numFmtId="0" xfId="0" applyAlignment="1" applyFont="1">
      <alignment horizontal="center" readingOrder="0" shrinkToFit="0" vertical="center" wrapText="0"/>
    </xf>
    <xf borderId="1" fillId="4" fontId="18" numFmtId="0" xfId="0" applyAlignment="1" applyBorder="1" applyFont="1">
      <alignment horizontal="center" readingOrder="0" shrinkToFit="0" vertical="center" wrapText="0"/>
    </xf>
    <xf borderId="0" fillId="4" fontId="18" numFmtId="0" xfId="0" applyAlignment="1" applyFont="1">
      <alignment horizontal="center" readingOrder="0" shrinkToFit="0" vertical="center" wrapText="0"/>
    </xf>
    <xf borderId="1" fillId="0" fontId="19" numFmtId="0" xfId="0" applyAlignment="1" applyBorder="1" applyFont="1">
      <alignment readingOrder="0" shrinkToFit="0" vertical="center" wrapText="0"/>
    </xf>
    <xf borderId="1" fillId="3" fontId="20" numFmtId="166" xfId="0" applyAlignment="1" applyBorder="1" applyFont="1" applyNumberFormat="1">
      <alignment readingOrder="0" shrinkToFit="0" vertical="center" wrapText="0"/>
    </xf>
    <xf borderId="1" fillId="0" fontId="19" numFmtId="166" xfId="0" applyAlignment="1" applyBorder="1" applyFont="1" applyNumberFormat="1">
      <alignment readingOrder="0" shrinkToFit="0" vertical="center" wrapText="0"/>
    </xf>
    <xf borderId="1" fillId="4" fontId="19" numFmtId="166" xfId="0" applyAlignment="1" applyBorder="1" applyFont="1" applyNumberFormat="1">
      <alignment readingOrder="0" shrinkToFit="0" vertical="center" wrapText="0"/>
    </xf>
    <xf borderId="0" fillId="4" fontId="19" numFmtId="0" xfId="0" applyAlignment="1" applyFont="1">
      <alignment readingOrder="0" shrinkToFit="0" vertical="center" wrapText="0"/>
    </xf>
    <xf borderId="1" fillId="13" fontId="19" numFmtId="0" xfId="0" applyAlignment="1" applyBorder="1" applyFont="1">
      <alignment readingOrder="0" shrinkToFit="0" vertical="center" wrapText="0"/>
    </xf>
    <xf borderId="1" fillId="3" fontId="19" numFmtId="166" xfId="0" applyAlignment="1" applyBorder="1" applyFont="1" applyNumberFormat="1">
      <alignment readingOrder="0" shrinkToFit="0" vertical="center" wrapText="0"/>
    </xf>
    <xf borderId="1" fillId="13" fontId="19" numFmtId="166" xfId="0" applyAlignment="1" applyBorder="1" applyFont="1" applyNumberFormat="1">
      <alignment readingOrder="0" shrinkToFit="0" vertical="center" wrapText="0"/>
    </xf>
    <xf borderId="1" fillId="3" fontId="19" numFmtId="0" xfId="0" applyAlignment="1" applyBorder="1" applyFont="1">
      <alignment readingOrder="0" shrinkToFit="0" vertical="center" wrapText="0"/>
    </xf>
    <xf borderId="1" fillId="0" fontId="20" numFmtId="166" xfId="0" applyAlignment="1" applyBorder="1" applyFont="1" applyNumberFormat="1">
      <alignment readingOrder="0" shrinkToFit="0" vertical="center" wrapText="0"/>
    </xf>
    <xf borderId="1" fillId="14" fontId="19" numFmtId="166" xfId="0" applyAlignment="1" applyBorder="1" applyFont="1" applyNumberFormat="1">
      <alignment readingOrder="0" shrinkToFit="0" vertical="center" wrapText="0"/>
    </xf>
    <xf borderId="0" fillId="13" fontId="19" numFmtId="166" xfId="0" applyAlignment="1" applyFont="1" applyNumberFormat="1">
      <alignment readingOrder="0" shrinkToFit="0" vertical="center" wrapText="0"/>
    </xf>
    <xf borderId="1" fillId="0" fontId="19" numFmtId="166" xfId="0" applyAlignment="1" applyBorder="1" applyFont="1" applyNumberFormat="1">
      <alignment horizontal="right" readingOrder="0" shrinkToFit="0" vertical="center" wrapText="0"/>
    </xf>
    <xf borderId="1" fillId="3" fontId="19" numFmtId="166" xfId="0" applyAlignment="1" applyBorder="1" applyFont="1" applyNumberFormat="1">
      <alignment horizontal="right" readingOrder="0" shrinkToFit="0" vertical="center" wrapText="0"/>
    </xf>
    <xf borderId="1" fillId="13" fontId="20" numFmtId="166" xfId="0" applyAlignment="1" applyBorder="1" applyFont="1" applyNumberFormat="1">
      <alignment readingOrder="0" shrinkToFit="0" vertical="center" wrapText="0"/>
    </xf>
    <xf borderId="1" fillId="27" fontId="19" numFmtId="0" xfId="0" applyAlignment="1" applyBorder="1" applyFill="1" applyFont="1">
      <alignment readingOrder="0" shrinkToFit="0" vertical="center" wrapText="0"/>
    </xf>
    <xf borderId="1" fillId="27" fontId="20" numFmtId="166" xfId="0" applyAlignment="1" applyBorder="1" applyFont="1" applyNumberFormat="1">
      <alignment readingOrder="0" shrinkToFit="0" vertical="center" wrapText="0"/>
    </xf>
    <xf borderId="1" fillId="27" fontId="19" numFmtId="166" xfId="0" applyAlignment="1" applyBorder="1" applyFont="1" applyNumberFormat="1">
      <alignment readingOrder="0" shrinkToFit="0" vertical="center" wrapText="0"/>
    </xf>
    <xf borderId="1" fillId="27" fontId="19" numFmtId="166" xfId="0" applyAlignment="1" applyBorder="1" applyFont="1" applyNumberFormat="1">
      <alignment horizontal="right" readingOrder="0" shrinkToFit="0" vertical="center" wrapText="0"/>
    </xf>
    <xf borderId="1" fillId="13" fontId="20" numFmtId="0" xfId="0" applyAlignment="1" applyBorder="1" applyFont="1">
      <alignment readingOrder="0" shrinkToFit="0" vertical="center" wrapText="0"/>
    </xf>
    <xf borderId="1" fillId="4" fontId="19" numFmtId="0" xfId="0" applyAlignment="1" applyBorder="1" applyFont="1">
      <alignment readingOrder="0" shrinkToFit="0" vertical="center" wrapText="0"/>
    </xf>
    <xf borderId="1" fillId="4" fontId="20" numFmtId="166" xfId="0" applyAlignment="1" applyBorder="1" applyFont="1" applyNumberFormat="1">
      <alignment readingOrder="0" shrinkToFit="0" vertical="center" wrapText="0"/>
    </xf>
    <xf borderId="1" fillId="14" fontId="20" numFmtId="166" xfId="0" applyAlignment="1" applyBorder="1" applyFont="1" applyNumberFormat="1">
      <alignment readingOrder="0" shrinkToFit="0" vertical="center" wrapText="0"/>
    </xf>
    <xf borderId="1" fillId="4" fontId="19" numFmtId="166" xfId="0" applyAlignment="1" applyBorder="1" applyFont="1" applyNumberFormat="1">
      <alignment readingOrder="0" shrinkToFit="0" vertical="center" wrapText="0"/>
    </xf>
    <xf borderId="1" fillId="4" fontId="19" numFmtId="166" xfId="0" applyAlignment="1" applyBorder="1" applyFont="1" applyNumberFormat="1">
      <alignment shrinkToFit="0" vertical="center" wrapText="0"/>
    </xf>
    <xf borderId="1" fillId="6" fontId="21" numFmtId="166" xfId="0" applyAlignment="1" applyBorder="1" applyFont="1" applyNumberFormat="1">
      <alignment shrinkToFit="0" vertical="center" wrapText="0"/>
    </xf>
    <xf borderId="0" fillId="6" fontId="21" numFmtId="166" xfId="0" applyAlignment="1" applyFont="1" applyNumberFormat="1">
      <alignment shrinkToFit="0" vertical="center" wrapText="0"/>
    </xf>
    <xf borderId="0" fillId="4" fontId="19" numFmtId="0" xfId="0" applyAlignment="1" applyFont="1">
      <alignment readingOrder="0" shrinkToFit="0" vertical="center" wrapText="0"/>
    </xf>
    <xf borderId="0" fillId="4" fontId="19" numFmtId="166" xfId="0" applyAlignment="1" applyFont="1" applyNumberFormat="1">
      <alignment shrinkToFit="0" vertical="center" wrapText="0"/>
    </xf>
    <xf borderId="0" fillId="4" fontId="21" numFmtId="166" xfId="0" applyAlignment="1" applyFont="1" applyNumberFormat="1">
      <alignment shrinkToFit="0" vertical="center" wrapText="0"/>
    </xf>
    <xf borderId="0" fillId="0" fontId="19" numFmtId="166" xfId="0" applyAlignment="1" applyFont="1" applyNumberFormat="1">
      <alignment readingOrder="0" shrinkToFit="0" textRotation="0" vertical="center" wrapText="0"/>
    </xf>
    <xf borderId="0" fillId="0" fontId="19" numFmtId="166" xfId="0" applyAlignment="1" applyFont="1" applyNumberFormat="1">
      <alignment shrinkToFit="0" vertical="center" wrapText="0"/>
    </xf>
    <xf borderId="0" fillId="0" fontId="21" numFmtId="166" xfId="0" applyAlignment="1" applyFont="1" applyNumberFormat="1">
      <alignment readingOrder="0" shrinkToFit="0" vertical="center" wrapText="0"/>
    </xf>
    <xf borderId="0" fillId="6" fontId="21" numFmtId="0" xfId="0" applyAlignment="1" applyFont="1">
      <alignment shrinkToFit="0" vertical="center" wrapText="0"/>
    </xf>
    <xf borderId="1" fillId="0" fontId="22" numFmtId="0" xfId="0" applyAlignment="1" applyBorder="1" applyFont="1">
      <alignment readingOrder="0"/>
    </xf>
    <xf borderId="1" fillId="0" fontId="22" numFmtId="166" xfId="0" applyBorder="1" applyFont="1" applyNumberFormat="1"/>
    <xf borderId="1" fillId="0" fontId="22" numFmtId="166" xfId="0" applyAlignment="1" applyBorder="1" applyFont="1" applyNumberFormat="1">
      <alignment readingOrder="0"/>
    </xf>
    <xf borderId="0" fillId="0" fontId="22" numFmtId="0" xfId="0" applyFont="1"/>
    <xf borderId="0" fillId="0" fontId="22" numFmtId="166" xfId="0" applyFont="1" applyNumberFormat="1"/>
    <xf borderId="0" fillId="0" fontId="22" numFmtId="0" xfId="0" applyAlignment="1" applyFont="1">
      <alignment readingOrder="0"/>
    </xf>
    <xf borderId="0" fillId="4" fontId="2" numFmtId="0" xfId="0" applyAlignment="1" applyFont="1">
      <alignment horizontal="left"/>
    </xf>
    <xf borderId="0" fillId="4" fontId="17" numFmtId="0" xfId="0" applyAlignment="1" applyFont="1">
      <alignment horizontal="left" readingOrder="0"/>
    </xf>
    <xf borderId="1" fillId="10" fontId="19" numFmtId="0" xfId="0" applyAlignment="1" applyBorder="1" applyFont="1">
      <alignment readingOrder="0" shrinkToFit="0" vertical="center" wrapText="0"/>
    </xf>
    <xf borderId="1" fillId="10" fontId="20" numFmtId="166" xfId="0" applyAlignment="1" applyBorder="1" applyFont="1" applyNumberFormat="1">
      <alignment readingOrder="0" shrinkToFit="0" vertical="center" wrapText="0"/>
    </xf>
    <xf borderId="1" fillId="10" fontId="19" numFmtId="166" xfId="0" applyAlignment="1" applyBorder="1" applyFont="1" applyNumberFormat="1">
      <alignment readingOrder="0" shrinkToFit="0" vertical="center" wrapText="0"/>
    </xf>
    <xf borderId="0" fillId="10" fontId="19" numFmtId="166" xfId="0" applyAlignment="1" applyFont="1" applyNumberFormat="1">
      <alignment readingOrder="0" shrinkToFit="0" vertical="center" wrapText="0"/>
    </xf>
    <xf borderId="1" fillId="10" fontId="19" numFmtId="166" xfId="0" applyAlignment="1" applyBorder="1" applyFont="1" applyNumberFormat="1">
      <alignment horizontal="right" readingOrder="0" shrinkToFit="0" vertical="center" wrapText="0"/>
    </xf>
    <xf borderId="1" fillId="10" fontId="20" numFmtId="0" xfId="0" applyAlignment="1" applyBorder="1" applyFont="1">
      <alignment readingOrder="0" shrinkToFit="0" vertical="center" wrapText="0"/>
    </xf>
    <xf borderId="1" fillId="2" fontId="20" numFmtId="166" xfId="0" applyAlignment="1" applyBorder="1" applyFont="1" applyNumberFormat="1">
      <alignment readingOrder="0" shrinkToFit="0" vertical="center" wrapText="0"/>
    </xf>
    <xf borderId="1" fillId="0" fontId="22" numFmtId="0" xfId="0" applyBorder="1" applyFont="1"/>
    <xf borderId="0" fillId="10" fontId="22" numFmtId="0" xfId="0" applyAlignment="1" applyFont="1">
      <alignment readingOrder="0"/>
    </xf>
    <xf borderId="0" fillId="10" fontId="22" numFmtId="0" xfId="0" applyFont="1"/>
    <xf borderId="0" fillId="10" fontId="20" numFmtId="0" xfId="0" applyAlignment="1" applyFont="1">
      <alignment horizontal="left"/>
    </xf>
    <xf borderId="0" fillId="10" fontId="23" numFmtId="0" xfId="0" applyFont="1"/>
    <xf borderId="0" fillId="10" fontId="24" numFmtId="0" xfId="0" applyAlignment="1" applyFont="1">
      <alignment horizontal="left" readingOrder="0"/>
    </xf>
    <xf borderId="0" fillId="10" fontId="25" numFmtId="0" xfId="0" applyFont="1"/>
    <xf borderId="0" fillId="25" fontId="4" numFmtId="166" xfId="0" applyFont="1" applyNumberFormat="1"/>
    <xf borderId="1" fillId="5" fontId="22" numFmtId="0" xfId="0" applyAlignment="1" applyBorder="1" applyFont="1">
      <alignment readingOrder="0"/>
    </xf>
    <xf borderId="1" fillId="5" fontId="22" numFmtId="166" xfId="0" applyAlignment="1" applyBorder="1" applyFont="1" applyNumberFormat="1">
      <alignment readingOrder="0"/>
    </xf>
    <xf borderId="0" fillId="0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1" fillId="3" fontId="22" numFmtId="166" xfId="0" applyAlignment="1" applyBorder="1" applyFont="1" applyNumberFormat="1">
      <alignment readingOrder="0"/>
    </xf>
    <xf borderId="1" fillId="4" fontId="22" numFmtId="0" xfId="0" applyAlignment="1" applyBorder="1" applyFont="1">
      <alignment readingOrder="0"/>
    </xf>
    <xf borderId="1" fillId="4" fontId="22" numFmtId="166" xfId="0" applyBorder="1" applyFont="1" applyNumberFormat="1"/>
    <xf borderId="1" fillId="13" fontId="19" numFmtId="166" xfId="0" applyAlignment="1" applyBorder="1" applyFont="1" applyNumberFormat="1">
      <alignment shrinkToFit="0" vertical="center" wrapText="0"/>
    </xf>
    <xf borderId="1" fillId="5" fontId="4" numFmtId="166" xfId="0" applyBorder="1" applyFont="1" applyNumberFormat="1"/>
    <xf borderId="0" fillId="18" fontId="22" numFmtId="0" xfId="0" applyAlignment="1" applyFont="1">
      <alignment readingOrder="0"/>
    </xf>
    <xf borderId="0" fillId="26" fontId="22" numFmtId="0" xfId="0" applyFont="1"/>
    <xf borderId="0" fillId="26" fontId="20" numFmtId="0" xfId="0" applyAlignment="1" applyFont="1">
      <alignment horizontal="left"/>
    </xf>
    <xf borderId="0" fillId="26" fontId="23" numFmtId="0" xfId="0" applyFont="1"/>
    <xf borderId="0" fillId="5" fontId="22" numFmtId="0" xfId="0" applyAlignment="1" applyFont="1">
      <alignment readingOrder="0"/>
    </xf>
    <xf borderId="0" fillId="26" fontId="24" numFmtId="0" xfId="0" applyAlignment="1" applyFont="1">
      <alignment horizontal="left" readingOrder="0"/>
    </xf>
    <xf borderId="0" fillId="26" fontId="25" numFmtId="0" xfId="0" applyFont="1"/>
    <xf borderId="0" fillId="0" fontId="18" numFmtId="0" xfId="0" applyAlignment="1" applyFont="1">
      <alignment horizontal="center" readingOrder="0" shrinkToFit="0" vertical="center" wrapText="0"/>
    </xf>
    <xf borderId="1" fillId="5" fontId="19" numFmtId="166" xfId="0" applyAlignment="1" applyBorder="1" applyFont="1" applyNumberFormat="1">
      <alignment readingOrder="0" shrinkToFit="0" vertical="center" wrapText="0"/>
    </xf>
    <xf borderId="1" fillId="18" fontId="19" numFmtId="0" xfId="0" applyAlignment="1" applyBorder="1" applyFont="1">
      <alignment readingOrder="0" shrinkToFit="0" vertical="center" wrapText="0"/>
    </xf>
    <xf borderId="1" fillId="18" fontId="19" numFmtId="166" xfId="0" applyAlignment="1" applyBorder="1" applyFont="1" applyNumberFormat="1">
      <alignment readingOrder="0" shrinkToFit="0" vertical="center" wrapText="0"/>
    </xf>
    <xf borderId="1" fillId="5" fontId="19" numFmtId="0" xfId="0" applyAlignment="1" applyBorder="1" applyFont="1">
      <alignment readingOrder="0" shrinkToFit="0" vertical="center" wrapText="0"/>
    </xf>
    <xf borderId="1" fillId="12" fontId="19" numFmtId="166" xfId="0" applyAlignment="1" applyBorder="1" applyFont="1" applyNumberFormat="1">
      <alignment readingOrder="0" shrinkToFit="0" vertical="center" wrapText="0"/>
    </xf>
    <xf borderId="1" fillId="3" fontId="19" numFmtId="166" xfId="0" applyAlignment="1" applyBorder="1" applyFont="1" applyNumberFormat="1">
      <alignment shrinkToFit="0" vertical="center" wrapText="0"/>
    </xf>
    <xf borderId="1" fillId="3" fontId="19" numFmtId="0" xfId="0" applyAlignment="1" applyBorder="1" applyFont="1">
      <alignment shrinkToFit="0" vertical="center" wrapText="0"/>
    </xf>
    <xf borderId="1" fillId="6" fontId="21" numFmtId="166" xfId="0" applyAlignment="1" applyBorder="1" applyFont="1" applyNumberFormat="1">
      <alignment shrinkToFit="0" vertical="center" wrapText="0"/>
    </xf>
    <xf borderId="0" fillId="4" fontId="22" numFmtId="0" xfId="0" applyFont="1"/>
    <xf borderId="0" fillId="0" fontId="22" numFmtId="166" xfId="0" applyAlignment="1" applyFont="1" applyNumberFormat="1">
      <alignment readingOrder="0"/>
    </xf>
    <xf borderId="1" fillId="13" fontId="22" numFmtId="0" xfId="0" applyAlignment="1" applyBorder="1" applyFont="1">
      <alignment readingOrder="0"/>
    </xf>
    <xf borderId="1" fillId="13" fontId="22" numFmtId="166" xfId="0" applyAlignment="1" applyBorder="1" applyFont="1" applyNumberFormat="1">
      <alignment readingOrder="0"/>
    </xf>
    <xf borderId="1" fillId="13" fontId="22" numFmtId="166" xfId="0" applyBorder="1" applyFont="1" applyNumberFormat="1"/>
    <xf borderId="2" fillId="4" fontId="22" numFmtId="0" xfId="0" applyAlignment="1" applyBorder="1" applyFont="1">
      <alignment readingOrder="0"/>
    </xf>
    <xf borderId="2" fillId="4" fontId="22" numFmtId="166" xfId="0" applyBorder="1" applyFont="1" applyNumberFormat="1"/>
    <xf borderId="3" fillId="13" fontId="22" numFmtId="0" xfId="0" applyAlignment="1" applyBorder="1" applyFont="1">
      <alignment readingOrder="0"/>
    </xf>
    <xf borderId="3" fillId="13" fontId="22" numFmtId="166" xfId="0" applyBorder="1" applyFont="1" applyNumberFormat="1"/>
    <xf borderId="0" fillId="3" fontId="22" numFmtId="166" xfId="0" applyFont="1" applyNumberFormat="1"/>
    <xf borderId="0" fillId="4" fontId="22" numFmtId="166" xfId="0" applyFont="1" applyNumberFormat="1"/>
    <xf borderId="0" fillId="0" fontId="26" numFmtId="0" xfId="0" applyFont="1"/>
    <xf borderId="0" fillId="10" fontId="22" numFmtId="166" xfId="0" applyAlignment="1" applyFont="1" applyNumberFormat="1">
      <alignment readingOrder="0"/>
    </xf>
    <xf borderId="0" fillId="0" fontId="27" numFmtId="0" xfId="0" applyAlignment="1" applyFont="1">
      <alignment readingOrder="0"/>
    </xf>
    <xf borderId="0" fillId="0" fontId="27" numFmtId="46" xfId="0" applyAlignment="1" applyFont="1" applyNumberFormat="1">
      <alignment readingOrder="0"/>
    </xf>
    <xf borderId="0" fillId="0" fontId="27" numFmtId="46" xfId="0" applyFont="1" applyNumberFormat="1"/>
    <xf borderId="0" fillId="0" fontId="22" numFmtId="46" xfId="0" applyAlignment="1" applyFont="1" applyNumberFormat="1">
      <alignment readingOrder="0"/>
    </xf>
    <xf borderId="1" fillId="4" fontId="19" numFmtId="0" xfId="0" applyAlignment="1" applyBorder="1" applyFont="1">
      <alignment readingOrder="0" shrinkToFit="0" vertical="center" wrapText="0"/>
    </xf>
    <xf borderId="1" fillId="4" fontId="19" numFmtId="166" xfId="0" applyAlignment="1" applyBorder="1" applyFont="1" applyNumberFormat="1">
      <alignment shrinkToFit="0" vertical="center" wrapText="0"/>
    </xf>
    <xf borderId="1" fillId="4" fontId="19" numFmtId="166" xfId="0" applyAlignment="1" applyBorder="1" applyFont="1" applyNumberFormat="1">
      <alignment readingOrder="0" shrinkToFit="0" vertical="center" wrapText="0"/>
    </xf>
    <xf borderId="1" fillId="28" fontId="21" numFmtId="166" xfId="0" applyAlignment="1" applyBorder="1" applyFill="1" applyFont="1" applyNumberFormat="1">
      <alignment shrinkToFit="0" vertical="center" wrapText="0"/>
    </xf>
    <xf borderId="1" fillId="4" fontId="28" numFmtId="0" xfId="0" applyAlignment="1" applyBorder="1" applyFont="1">
      <alignment readingOrder="0" shrinkToFit="0" wrapText="1"/>
    </xf>
    <xf borderId="0" fillId="13" fontId="22" numFmtId="0" xfId="0" applyAlignment="1" applyFont="1">
      <alignment readingOrder="0"/>
    </xf>
    <xf borderId="0" fillId="13" fontId="22" numFmtId="166" xfId="0" applyAlignment="1" applyFont="1" applyNumberFormat="1">
      <alignment readingOrder="0"/>
    </xf>
    <xf borderId="0" fillId="0" fontId="22" numFmtId="46" xfId="0" applyFont="1" applyNumberFormat="1"/>
    <xf borderId="0" fillId="3" fontId="22" numFmtId="0" xfId="0" applyAlignment="1" applyFont="1">
      <alignment readingOrder="0"/>
    </xf>
    <xf borderId="0" fillId="13" fontId="22" numFmtId="166" xfId="0" applyFont="1" applyNumberFormat="1"/>
    <xf borderId="0" fillId="4" fontId="19" numFmtId="166" xfId="0" applyAlignment="1" applyFont="1" applyNumberFormat="1">
      <alignment readingOrder="0" shrinkToFit="0" vertical="center" wrapText="0"/>
    </xf>
    <xf borderId="0" fillId="4" fontId="22" numFmtId="0" xfId="0" applyAlignment="1" applyFont="1">
      <alignment readingOrder="0"/>
    </xf>
    <xf borderId="0" fillId="4" fontId="22" numFmtId="166" xfId="0" applyAlignment="1" applyFont="1" applyNumberFormat="1">
      <alignment readingOrder="0"/>
    </xf>
    <xf borderId="1" fillId="13" fontId="21" numFmtId="166" xfId="0" applyAlignment="1" applyBorder="1" applyFont="1" applyNumberFormat="1">
      <alignment readingOrder="0" shrinkToFit="0" vertical="center" wrapText="0"/>
    </xf>
    <xf borderId="0" fillId="13" fontId="19" numFmtId="166" xfId="0" applyAlignment="1" applyFont="1" applyNumberFormat="1">
      <alignment readingOrder="0" shrinkToFit="0" vertical="center" wrapText="0"/>
    </xf>
    <xf borderId="1" fillId="14" fontId="22" numFmtId="0" xfId="0" applyAlignment="1" applyBorder="1" applyFont="1">
      <alignment readingOrder="0"/>
    </xf>
    <xf borderId="1" fillId="14" fontId="22" numFmtId="166" xfId="0" applyAlignment="1" applyBorder="1" applyFont="1" applyNumberFormat="1">
      <alignment readingOrder="0"/>
    </xf>
    <xf borderId="1" fillId="14" fontId="29" numFmtId="166" xfId="0" applyAlignment="1" applyBorder="1" applyFont="1" applyNumberFormat="1">
      <alignment readingOrder="0"/>
    </xf>
    <xf borderId="1" fillId="3" fontId="22" numFmtId="0" xfId="0" applyAlignment="1" applyBorder="1" applyFont="1">
      <alignment readingOrder="0"/>
    </xf>
    <xf borderId="1" fillId="3" fontId="22" numFmtId="166" xfId="0" applyBorder="1" applyFont="1" applyNumberFormat="1"/>
    <xf borderId="1" fillId="3" fontId="29" numFmtId="166" xfId="0" applyAlignment="1" applyBorder="1" applyFont="1" applyNumberFormat="1">
      <alignment readingOrder="0"/>
    </xf>
    <xf borderId="1" fillId="8" fontId="22" numFmtId="0" xfId="0" applyAlignment="1" applyBorder="1" applyFont="1">
      <alignment readingOrder="0"/>
    </xf>
    <xf borderId="1" fillId="8" fontId="4" numFmtId="0" xfId="0" applyBorder="1" applyFont="1"/>
    <xf borderId="1" fillId="8" fontId="22" numFmtId="0" xfId="0" applyBorder="1" applyFont="1"/>
    <xf borderId="1" fillId="8" fontId="22" numFmtId="166" xfId="0" applyBorder="1" applyFont="1" applyNumberFormat="1"/>
    <xf borderId="0" fillId="3" fontId="4" numFmtId="0" xfId="0" applyFont="1"/>
    <xf borderId="0" fillId="0" fontId="4" numFmtId="169" xfId="0" applyAlignment="1" applyFont="1" applyNumberFormat="1">
      <alignment readingOrder="0"/>
    </xf>
    <xf borderId="1" fillId="25" fontId="4" numFmtId="166" xfId="0" applyAlignment="1" applyBorder="1" applyFont="1" applyNumberFormat="1">
      <alignment readingOrder="0"/>
    </xf>
    <xf borderId="0" fillId="0" fontId="3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4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LOS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LO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JAND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LEJANDRO 2026-style 2">
      <tableStyleElement dxfId="3" type="firstRowStripe"/>
      <tableStyleElement dxfId="2" type="secondRowStripe"/>
    </tableStyle>
    <tableStyle count="4" pivot="0" name="ALEJANDRO 20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JANDROEVELYN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JANDROEVELYN 202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JANDROEVELYN 2025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28575</xdr:rowOff>
    </xdr:from>
    <xdr:ext cx="2562225" cy="60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28575</xdr:rowOff>
    </xdr:from>
    <xdr:ext cx="2562225" cy="60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28575</xdr:rowOff>
    </xdr:from>
    <xdr:ext cx="2562225" cy="60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28575</xdr:rowOff>
    </xdr:from>
    <xdr:ext cx="2562225" cy="60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704850</xdr:colOff>
      <xdr:row>0</xdr:row>
      <xdr:rowOff>38100</xdr:rowOff>
    </xdr:from>
    <xdr:ext cx="2771775" cy="6667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66675</xdr:rowOff>
    </xdr:from>
    <xdr:ext cx="514350" cy="6096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704850</xdr:colOff>
      <xdr:row>0</xdr:row>
      <xdr:rowOff>38100</xdr:rowOff>
    </xdr:from>
    <xdr:ext cx="2771775" cy="6667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66675</xdr:rowOff>
    </xdr:from>
    <xdr:ext cx="514350" cy="6096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0</xdr:row>
      <xdr:rowOff>0</xdr:rowOff>
    </xdr:from>
    <xdr:ext cx="2771775" cy="6667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752475</xdr:colOff>
      <xdr:row>0</xdr:row>
      <xdr:rowOff>28575</xdr:rowOff>
    </xdr:from>
    <xdr:ext cx="514350" cy="6096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lphax Training Team" id="{f90eafdc-d1a7-438f-b6bb-0a5865faa415}" providerId="google-sheets"/>
  <x18tc:person displayName="Carlos Zuluaga" id="{5c29d9cf-0fc4-4c0f-b626-d2b051613278}" providerId="google-sheets"/>
</x18tc:personList>
</file>

<file path=xl/tables/table1.xml><?xml version="1.0" encoding="utf-8"?>
<table xmlns="http://schemas.openxmlformats.org/spreadsheetml/2006/main" ref="A4:O109" displayName="Tabla_1" name="Tabla_1" id="1">
  <tableColumns count="15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  <tableColumn name="Columna 1" id="14"/>
    <tableColumn name="Columna 2" id="15"/>
  </tableColumns>
  <tableStyleInfo name="2024-style" showColumnStripes="0" showFirstColumn="1" showLastColumn="1" showRowStripes="1"/>
</table>
</file>

<file path=xl/tables/table2.xml><?xml version="1.0" encoding="utf-8"?>
<table xmlns="http://schemas.openxmlformats.org/spreadsheetml/2006/main" ref="S129:V173" displayName="Tabla_2" name="Tabla_2" id="2">
  <tableColumns count="4">
    <tableColumn name="Columna 1" id="1"/>
    <tableColumn name="ALEJANDRO NOVIEMBRE" id="2"/>
    <tableColumn name="Columna 2" id="3"/>
    <tableColumn name="Columna 3" id="4"/>
  </tableColumns>
  <tableStyleInfo name="2024-style 2" showColumnStripes="0" showFirstColumn="1" showLastColumn="1" showRowStripes="1"/>
</table>
</file>

<file path=xl/tables/table3.xml><?xml version="1.0" encoding="utf-8"?>
<table xmlns="http://schemas.openxmlformats.org/spreadsheetml/2006/main" ref="A4:O55" displayName="Tabla_4" name="Tabla_4" id="3">
  <tableColumns count="15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  <tableColumn name="TOTALES" id="14"/>
    <tableColumn name="Columna 1" id="15"/>
  </tableColumns>
  <tableStyleInfo name="CARLOS 2025-style" showColumnStripes="0" showFirstColumn="1" showLastColumn="1" showRowStripes="1"/>
</table>
</file>

<file path=xl/tables/table4.xml><?xml version="1.0" encoding="utf-8"?>
<table xmlns="http://schemas.openxmlformats.org/spreadsheetml/2006/main" ref="A4:M43" displayName="Tabla" name="Tabla" id="4">
  <tableColumns count="13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</tableColumns>
  <tableStyleInfo name="CARLOS 2026-style" showColumnStripes="0" showFirstColumn="1" showLastColumn="1" showRowStripes="1"/>
</table>
</file>

<file path=xl/tables/table5.xml><?xml version="1.0" encoding="utf-8"?>
<table xmlns="http://schemas.openxmlformats.org/spreadsheetml/2006/main" ref="A4:M29" displayName="Tabla_5" name="Tabla_5" id="5">
  <tableColumns count="13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</tableColumns>
  <tableStyleInfo name="ALEJANDRO 2026-style" showColumnStripes="0" showFirstColumn="1" showLastColumn="1" showRowStripes="1"/>
</table>
</file>

<file path=xl/tables/table6.xml><?xml version="1.0" encoding="utf-8"?>
<table xmlns="http://schemas.openxmlformats.org/spreadsheetml/2006/main" headerRowCount="0" ref="A39:N45" displayName="Table_1" name="Table_1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LEJANDRO 2026-style 2" showColumnStripes="0" showFirstColumn="1" showLastColumn="1" showRowStripes="1"/>
</table>
</file>

<file path=xl/tables/table7.xml><?xml version="1.0" encoding="utf-8"?>
<table xmlns="http://schemas.openxmlformats.org/spreadsheetml/2006/main" ref="A48:M54" displayName="Tabla_6" name="Tabla_6" id="7">
  <tableColumns count="13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</tableColumns>
  <tableStyleInfo name="ALEJANDRO 2026-style 3" showColumnStripes="0" showFirstColumn="1" showLastColumn="1" showRowStripes="1"/>
</table>
</file>

<file path=xl/tables/table8.xml><?xml version="1.0" encoding="utf-8"?>
<table xmlns="http://schemas.openxmlformats.org/spreadsheetml/2006/main" ref="A4:N62" displayName="ATLETAS_ALEJANDRO_" name="ATLETAS_ALEJANDRO_" id="8">
  <tableColumns count="14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  <tableColumn name="TOTALES" id="14"/>
  </tableColumns>
  <tableStyleInfo name="ALEJANDROEVELYN 2025-style" showColumnStripes="0" showFirstColumn="1" showLastColumn="1" showRowStripes="1"/>
</table>
</file>

<file path=xl/tables/table9.xml><?xml version="1.0" encoding="utf-8"?>
<table xmlns="http://schemas.openxmlformats.org/spreadsheetml/2006/main" ref="A76:N89" displayName="ATLETAS_EVELYN" name="ATLETAS_EVELYN" id="9">
  <tableColumns count="14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  <tableColumn name="Columna 1" id="14"/>
  </tableColumns>
  <tableStyleInfo name="ALEJANDROEVELYN 2025-style 2" showColumnStripes="0" showFirstColumn="1" showLastColumn="1" showRowStripes="1"/>
</table>
</file>

<file path=xl/tables/table10.xml><?xml version="1.0" encoding="utf-8"?>
<table xmlns="http://schemas.openxmlformats.org/spreadsheetml/2006/main" ref="A96:O101" displayName="GASTOS_TOTALES_ALPHAX" name="GASTOS_TOTALES_ALPHAX" id="10">
  <tableColumns count="15">
    <tableColumn name="ATLETA 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  <tableColumn name="TOTALES" id="14"/>
    <tableColumn name="PROMEDIO MES" id="15"/>
  </tableColumns>
  <tableStyleInfo name="ALEJANDROEVELYN 2025-style 3" showColumnStripes="0" showFirstColumn="1" showLastColumn="1" showRowStripes="1"/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5-05T19:01:55.00" personId="{5c29d9cf-0fc4-4c0f-b626-d2b051613278}" id="{0bf60816-faaf-4130-b85b-543be9e339e5}" done="0">
    <x18tc:text xml:space="preserve">en efectivo para camiseta terret</x18tc:text>
  </x18tc:threadedComment>
  <x18tc:threadedComment ref="A1" dT="2024-02-03T14:32:39.00" personId="{5c29d9cf-0fc4-4c0f-b626-d2b051613278}" id="{6ea5a972-e2b4-48fd-b688-a2982aa9963f}" done="1">
    <x18tc:text xml:space="preserve">Bike Fitting Mendoza 250
Tennis nike 600</x18tc:text>
  </x18tc:threadedComment>
  <x18tc:threadedComment ref="A1" dT="2024-03-04T15:54:33.00" personId="{5c29d9cf-0fc4-4c0f-b626-d2b051613278}" id="{bf771ac4-bfe4-4229-8a29-0ea5aed0e4fe}" done="1">
    <x18tc:text xml:space="preserve">bike fitting + tenis nike</x18tc:text>
  </x18tc:threadedComment>
  <x18tc:threadedComment ref="A1" dT="2024-02-14T19:16:11.00" personId="{5c29d9cf-0fc4-4c0f-b626-d2b051613278}" id="{f10772f1-e98f-484b-accb-a1a62fb88cd0}" done="1">
    <x18tc:text xml:space="preserve">Venta Tenis Nike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8" dT="2021-07-15T14:03:47.00" personId="{5c29d9cf-0fc4-4c0f-b626-d2b051613278}" id="{5e9b8baf-7214-4145-a879-776155915b30}" done="0">
    <x18tc:text xml:space="preserve">Le debia de envio a miami de componentes</x18tc:text>
  </x18tc:threadedComment>
  <x18tc:threadedComment ref="G69" dT="2021-07-02T20:56:04.00" personId="{5c29d9cf-0fc4-4c0f-b626-d2b051613278}" id="{a04bf398-8684-4de6-81dd-1a76fba56dc8}" done="0">
    <x18tc:text xml:space="preserve">Jorge Vargas 
Jose Bravini
Alejandro Herrera</x18tc:text>
  </x18tc:threadedComment>
  <x18tc:threadedComment ref="D69" dT="2021-03-11T00:45:10.00" personId="{5c29d9cf-0fc4-4c0f-b626-d2b051613278}" id="{b78fe95d-aaee-4acf-8f97-e98071b861ec}" done="0">
    <x18tc:text xml:space="preserve">4 triatletas a distancia</x18tc:text>
  </x18tc:threadedComment>
  <x18tc:threadedComment ref="M61" dT="2021-11-18T01:24:28.00" personId="{5c29d9cf-0fc4-4c0f-b626-d2b051613278}" id="{09cb50a3-459b-41b0-820f-0801c89ccf5f}" done="0">
    <x18tc:text xml:space="preserve">camisetas de Regalo Chicos</x18tc:text>
  </x18tc:threadedComment>
  <x18tc:threadedComment ref="H69" dT="2021-07-13T16:58:37.00" personId="{5c29d9cf-0fc4-4c0f-b626-d2b051613278}" id="{69bd211e-6f48-421f-8e14-f0da8b546ffc}" done="0">
    <x18tc:text xml:space="preserve">Bravini 
Jorge Vargas</x18tc:text>
  </x18tc:threadedComment>
  <x18tc:threadedComment ref="F69" dT="2021-05-16T16:26:35.00" personId="{5c29d9cf-0fc4-4c0f-b626-d2b051613278}" id="{0b00bec3-071c-4a03-a53d-fe163c90166b}" done="0">
    <x18tc:text xml:space="preserve">Bravini y Jorge Vargas</x18tc:text>
  </x18tc:threadedComment>
  <x18tc:threadedComment ref="E69" dT="2021-04-12T00:10:15.00" personId="{5c29d9cf-0fc4-4c0f-b626-d2b051613278}" id="{6a70905a-e963-4ebc-9ae9-f9dcbe42fde0}" done="0">
    <x18tc:text xml:space="preserve">3 atletas a distancia</x18tc:text>
  </x18tc:threadedComment>
  <x18tc:threadedComment ref="L61" dT="2021-10-20T15:32:13.00" personId="{5c29d9cf-0fc4-4c0f-b626-d2b051613278}" id="{ef366924-5e11-48a2-bd48-28abe3d9a83b}" done="0">
    <x18tc:text xml:space="preserve">inicial página web 224.000
Trajes de baño 860.000</x18tc:text>
  </x18tc:threadedComment>
  <x18tc:threadedComment ref="D73" dT="2021-04-05T20:13:50.00" personId="{5c29d9cf-0fc4-4c0f-b626-d2b051613278}" id="{f428c972-9dbe-4117-9b0d-866dbc3f8e07}" done="0">
    <x18tc:text xml:space="preserve">TOTAL CARLOS MARZO</x18tc:text>
  </x18tc:threadedComment>
  <x18tc:threadedComment ref="K11" dT="2021-10-02T19:38:50.00" personId="{5c29d9cf-0fc4-4c0f-b626-d2b051613278}" id="{5efb935f-26cf-41cc-b2a7-f2a512dcd879}" done="0">
    <x18tc:text xml:space="preserve">Descuento referidos Ryan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02" dT="2022-10-27T22:43:56.00" personId="{5c29d9cf-0fc4-4c0f-b626-d2b051613278}" id="{f499a6bb-692c-446b-b3c3-8216b5cc6983}" done="0">
    <x18tc:text xml:space="preserve">160000 Redes
250000 Activacion anual pagina web</x18tc:text>
  </x18tc:threadedComment>
  <x18tc:threadedComment ref="L81" dT="2022-11-19T12:35:56.00" personId="{5c29d9cf-0fc4-4c0f-b626-d2b051613278}" id="{e7311039-338c-42b5-a963-ccf2429ef5a1}" done="0">
    <x18tc:text xml:space="preserve">pago 350.000 pero se desconto 93.000 porque el mes pasado se los conte a Carlos y Jorge empezo el 01 noviembre</x18tc:text>
  </x18tc:threadedComment>
  <x18tc:threadedComment ref="D102" dT="2022-03-02T04:19:48.00" personId="{5c29d9cf-0fc4-4c0f-b626-d2b051613278}" id="{abc2f501-1cc3-4595-abea-d8f79f950c5b}" done="0">
    <x18tc:text xml:space="preserve">Manejo Redes</x18tc:text>
  </x18tc:threadedComment>
  <x18tc:threadedComment ref="K81" dT="2022-11-01T23:40:51.00" personId="{5c29d9cf-0fc4-4c0f-b626-d2b051613278}" id="{839009ca-2e9d-49fd-824d-56864d1969b2}" done="0">
    <x18tc:text xml:space="preserve">Se lo pague a Carlos pero empezó en noviembre</x18tc:text>
  </x18tc:threadedComment>
  <x18tc:threadedComment ref="C102" dT="2022-02-02T18:43:36.00" personId="{5c29d9cf-0fc4-4c0f-b626-d2b051613278}" id="{ed4d3c9d-6829-497b-963d-5fab42baa89d}" done="0">
    <x18tc:text xml:space="preserve">Manejo Redes</x18tc:text>
  </x18tc:threadedComment>
  <x18tc:threadedComment ref="M102" dT="2022-12-06T14:36:55.00" personId="{5c29d9cf-0fc4-4c0f-b626-d2b051613278}" id="{267f21aa-1eb5-4162-a3a8-17dcb8bbe77f}" done="0">
    <x18tc:text xml:space="preserve">160 redes
65 optimizacion pagina web</x18tc:text>
  </x18tc:threadedComment>
  <x18tc:threadedComment ref="B102" dT="2022-01-07T01:54:00.00" personId="{5c29d9cf-0fc4-4c0f-b626-d2b051613278}" id="{152d707a-3ad4-4c9a-8efc-749895c16dc1}" done="0">
    <x18tc:text xml:space="preserve">página web mitad 650.000
Inscripción a la liga 500.000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6" dT="2023-12-14T01:43:11.00" personId="{5c29d9cf-0fc4-4c0f-b626-d2b051613278}" id="{4b22c8d9-fe9d-44a0-bd23-33c26b22ce76}" done="0">
    <x18tc:text xml:space="preserve">REFERIO ATLETA NO SE COBRO</x18tc:text>
  </x18tc:threadedComment>
  <x18tc:threadedComment ref="L150" dT="2023-11-01T19:14:55.00" personId="{5c29d9cf-0fc4-4c0f-b626-d2b051613278}" id="{4801d928-874f-454a-adda-0e6da7edd68b}" done="0">
    <x18tc:text xml:space="preserve">Andrea Fuerza</x18tc:text>
  </x18tc:threadedComment>
  <x18tc:threadedComment ref="J168" dT="2023-09-29T17:37:02.00" personId="{f90eafdc-d1a7-438f-b6bb-0a5865faa415}" id="{57306d9f-da2f-4633-b345-a777af6367fd}" done="0">
    <x18tc:text xml:space="preserve">250.000
Bike Fitting Santi Velasquez</x18tc:text>
  </x18tc:threadedComment>
  <x18tc:threadedComment ref="J168" dT="2023-09-29T17:37:42.00" personId="{f90eafdc-d1a7-438f-b6bb-0a5865faa415}" id="{7be7de89-1843-4377-9923-c8983cdf7171}" parentId="{57306d9f-da2f-4633-b345-a777af6367fd}">
    <x18tc:text xml:space="preserve">400.000 Pago Nike</x18tc:text>
  </x18tc:threadedComment>
  <x18tc:threadedComment ref="J168" dT="2023-09-30T00:34:14.00" personId="{f90eafdc-d1a7-438f-b6bb-0a5865faa415}" id="{87b3e248-ee5e-467a-b20a-74ce9d3b5b3d}" parentId="{57306d9f-da2f-4633-b345-a777af6367fd}">
    <x18tc:text xml:space="preserve">250.000 bike fitting Sara</x18tc:text>
  </x18tc:threadedComment>
  <x18tc:threadedComment ref="J168" dT="2023-09-30T00:34:49.00" personId="{f90eafdc-d1a7-438f-b6bb-0a5865faa415}" id="{0d82579e-ab64-41a3-bd71-67780e9a48db}" parentId="{57306d9f-da2f-4633-b345-a777af6367fd}">
    <x18tc:text xml:space="preserve">400.000 pago adidas Lore</x18tc:text>
  </x18tc:threadedComment>
  <x18tc:threadedComment ref="E63" dT="2023-12-14T01:45:19.00" personId="{5c29d9cf-0fc4-4c0f-b626-d2b051613278}" id="{c0770e4d-7347-4f49-981f-2ab603113972}" done="0">
    <x18tc:text xml:space="preserve">REFIRIO UN ATLETA</x18tc:text>
  </x18tc:threadedComment>
  <x18tc:threadedComment ref="F114" dT="2023-05-05T18:48:21.00" personId="{5c29d9cf-0fc4-4c0f-b626-d2b051613278}" id="{37a83177-2c28-43a7-80ab-49d7fdbb1881}" done="0">
    <x18tc:text xml:space="preserve">plan referidos por Cifuentes runner 280.000</x18tc:text>
  </x18tc:threadedComment>
  <x18tc:threadedComment ref="I150" dT="2023-08-14T15:03:04.00" personId="{5c29d9cf-0fc4-4c0f-b626-d2b051613278}" id="{6982342b-abaf-4d0a-bc9d-9b7236612e68}" done="0">
    <x18tc:text xml:space="preserve">Andrea Fuerza 150
Redes 160
Sergio Giraldo 300
jersey mendoza 220</x18tc:text>
  </x18tc:threadedComment>
  <x18tc:threadedComment ref="J17" dT="2023-12-14T01:44:25.00" personId="{5c29d9cf-0fc4-4c0f-b626-d2b051613278}" id="{a2211b04-dbbd-4bc6-b1e4-1cc3848ce6e6}" done="0">
    <x18tc:text xml:space="preserve">ME PASADO PAGO X2</x18tc:text>
  </x18tc:threadedComment>
  <x18tc:threadedComment ref="H17" dT="2023-12-14T01:44:15.00" personId="{5c29d9cf-0fc4-4c0f-b626-d2b051613278}" id="{b06ecb86-65cf-4314-8972-49b3ab516c96}" done="0">
    <x18tc:text xml:space="preserve">ME PASADO PAGO X2</x18tc:text>
  </x18tc:threadedComment>
  <x18tc:threadedComment ref="L19" dT="2023-12-14T01:44:45.00" personId="{5c29d9cf-0fc4-4c0f-b626-d2b051613278}" id="{766ef446-07d4-4dac-92d3-7155f8d3aac0}" done="0">
    <x18tc:text xml:space="preserve">ME PASADO PAGO X2</x18tc:text>
  </x18tc:threadedComment>
  <x18tc:threadedComment ref="L17" dT="2023-12-14T01:44:36.00" personId="{5c29d9cf-0fc4-4c0f-b626-d2b051613278}" id="{cf487b40-59ec-4f25-89e8-bfc69c82bd0c}" done="0">
    <x18tc:text xml:space="preserve">ME PASADO PAGO X2</x18tc:text>
  </x18tc:threadedComment>
  <x18tc:threadedComment ref="F17" dT="2023-12-14T01:43:55.00" personId="{5c29d9cf-0fc4-4c0f-b626-d2b051613278}" id="{ff6d924a-2600-47f6-b776-a32a708f23f8}" done="0">
    <x18tc:text xml:space="preserve">ME PASADO PAGO X2</x18tc:text>
  </x18tc:threadedComment>
  <x18tc:threadedComment ref="D17" dT="2023-12-14T01:43:39.00" personId="{5c29d9cf-0fc4-4c0f-b626-d2b051613278}" id="{15b4d428-9f68-4e6d-90d7-19d818b77456}" done="0">
    <x18tc:text xml:space="preserve">MES PASADO PAGO X2</x18tc:text>
  </x18tc:threadedComment>
  <x18tc:threadedComment ref="M150" dT="2023-12-19T18:39:00.00" personId="{5c29d9cf-0fc4-4c0f-b626-d2b051613278}" id="{a1cd655c-ca75-498f-83bc-f29f0f48ed69}" done="0">
    <x18tc:text xml:space="preserve">150.000 Andrea Fuerza 
150.000 Evelyn Redes</x18tc:text>
  </x18tc:threadedComment>
  <x18tc:threadedComment ref="H150" dT="2023-07-18T14:49:02.00" personId="{5c29d9cf-0fc4-4c0f-b626-d2b051613278}" id="{8c4d68a5-750e-43a0-a70b-4a03e01e60d0}" done="0">
    <x18tc:text xml:space="preserve">* 825.000 soft bottles 50x16.500
* 360.000 porta herramientas 20x18.000
* 150.000 profe fuerza 
* 160.000 Luz Redes</x18tc:text>
  </x18tc:threadedComment>
  <x18tc:threadedComment ref="K150" dT="2023-10-05T11:38:15.00" personId="{f90eafdc-d1a7-438f-b6bb-0a5865faa415}" id="{18c04c01-0db5-4253-b09d-d2c55d26209e}" done="0">
    <x18tc:text xml:space="preserve">150000 Andrea Fuerza</x18tc:text>
  </x18tc:threadedComment>
  <x18tc:threadedComment ref="K150" dT="2023-10-05T11:38:44.00" personId="{f90eafdc-d1a7-438f-b6bb-0a5865faa415}" id="{15ecba20-9da6-41b8-b3dd-76e6ea51fea0}" parentId="{18c04c01-0db5-4253-b09d-d2c55d26209e}">
    <x18tc:text xml:space="preserve">86000 Dominio web</x18tc:text>
  </x18tc:threadedComment>
  <x18tc:threadedComment ref="K150" dT="2023-10-22T03:48:33.00" personId="{5c29d9cf-0fc4-4c0f-b626-d2b051613278}" id="{ebc13306-0023-4ea6-8ce7-ba7a1d286529}" parentId="{18c04c01-0db5-4253-b09d-d2c55d26209e}">
    <x18tc:text xml:space="preserve">228000 BANAHOST</x18tc:text>
  </x18tc:threadedComment>
  <x18tc:threadedComment ref="M168" dT="2023-12-14T02:48:53.00" personId="{5c29d9cf-0fc4-4c0f-b626-d2b051613278}" id="{b85f192d-6713-479c-9618-a624f2b3bda1}" done="0">
    <x18tc:text xml:space="preserve">Tenis nike Simon</x18tc:text>
  </x18tc:threadedComment>
  <x18tc:threadedComment ref="K168" dT="2023-10-04T16:29:37.00" personId="{f90eafdc-d1a7-438f-b6bb-0a5865faa415}" id="{345b9bdd-8dda-4182-a9db-ac075fe4cf6e}" done="0">
    <x18tc:text xml:space="preserve">250000 bike fitting Dario Velasquez</x18tc:text>
  </x18tc:threadedComment>
  <x18tc:threadedComment ref="K168" dT="2023-10-06T19:22:23.00" personId="{5c29d9cf-0fc4-4c0f-b626-d2b051613278}" id="{346d6777-e297-4357-9709-44ef03e2a0c6}" parentId="{345b9bdd-8dda-4182-a9db-ac075fe4cf6e}">
    <x18tc:text xml:space="preserve">250000 bike fitting Nereo</x18tc:text>
  </x18tc:threadedComment>
  <x18tc:threadedComment ref="K168" dT="2023-11-03T22:39:19.00" personId="{5c29d9cf-0fc4-4c0f-b626-d2b051613278}" id="{0ead70b9-c983-4886-af4e-f9eabdd88a23}" parentId="{345b9bdd-8dda-4182-a9db-ac075fe4cf6e}">
    <x18tc:text xml:space="preserve">150.000 manillar</x18tc:text>
  </x18tc:threadedComment>
  <x18tc:threadedComment ref="B150" dT="2023-01-07T18:11:13.00" personId="{5c29d9cf-0fc4-4c0f-b626-d2b051613278}" id="{82b20756-a5c3-47d4-82b9-7f233f5a8817}" done="0">
    <x18tc:text xml:space="preserve">160 redes
150 Andrea Fuerza
325 pago anual liga tri</x18tc:text>
  </x18tc:threadedComment>
  <x18tc:threadedComment ref="L168" dT="2023-11-03T22:40:38.00" personId="{5c29d9cf-0fc4-4c0f-b626-d2b051613278}" id="{f7a1a97d-c64d-41fe-b04b-b4365f4d0e2e}" done="0">
    <x18tc:text xml:space="preserve">350.000 bike fitting Vanessa
750.000 Garmin
450.000 Wahoo rival utilidad</x18tc:text>
  </x18tc:threadedComment>
  <x18tc:threadedComment ref="L168" dT="2023-11-03T22:41:09.00" personId="{5c29d9cf-0fc4-4c0f-b626-d2b051613278}" id="{0b156dc8-447b-43cc-85f6-4c26289e0d56}" parentId="{f7a1a97d-c64d-41fe-b04b-b4365f4d0e2e}">
    <x18tc:text xml:space="preserve">600.000 pago Nike</x18tc:text>
  </x18tc:threadedComment>
  <x18tc:threadedComment ref="L168" dT="2023-11-15T20:17:03.00" personId="{5c29d9cf-0fc4-4c0f-b626-d2b051613278}" id="{f3d733d0-d488-4d9e-877e-a225c14d385d}" parentId="{f7a1a97d-c64d-41fe-b04b-b4365f4d0e2e}">
    <x18tc:text xml:space="preserve">250.000 bike fitting Carlos Mendoza</x18tc:text>
  </x18tc:threadedComment>
  <x18tc:threadedComment ref="L168" dT="2023-11-27T16:27:10.00" personId="{5c29d9cf-0fc4-4c0f-b626-d2b051613278}" id="{13cdb1f4-8ecb-4870-b69f-62862cf66032}" parentId="{f7a1a97d-c64d-41fe-b04b-b4365f4d0e2e}">
    <x18tc:text xml:space="preserve">1'000.000 tenis nike Simon</x18tc:text>
  </x18tc:threadedComment>
  <x18tc:threadedComment ref="L168" dT="2023-12-04T16:35:08.00" personId="{5c29d9cf-0fc4-4c0f-b626-d2b051613278}" id="{6a38933f-3c25-45d6-aa02-778855b354a3}" parentId="{f7a1a97d-c64d-41fe-b04b-b4365f4d0e2e}">
    <x18tc:text xml:space="preserve">400.000 bike fitting Santiago Diez</x18tc:text>
  </x18tc:threadedComment>
  <x18tc:threadedComment ref="C150" dT="2023-02-06T15:21:49.00" personId="{5c29d9cf-0fc4-4c0f-b626-d2b051613278}" id="{f122994e-0fc6-4a36-ac80-7c7669612e4b}" done="0">
    <x18tc:text xml:space="preserve">150 Andrea Fuerza 
160 Luz Rdes</x18tc:text>
  </x18tc:threadedComment>
  <x18tc:threadedComment ref="I168" dT="2023-08-11T13:20:45.00" personId="{5c29d9cf-0fc4-4c0f-b626-d2b051613278}" id="{eb772ea1-84f5-40af-9fd2-e2f96ef47698}" done="0">
    <x18tc:text xml:space="preserve">750.000 bike fitting Mauro</x18tc:text>
  </x18tc:threadedComment>
  <x18tc:threadedComment ref="I168" dT="2023-08-16T19:00:27.00" personId="{5c29d9cf-0fc4-4c0f-b626-d2b051613278}" id="{7a4137eb-2750-4c22-b79f-c0997b5d0555}" parentId="{eb772ea1-84f5-40af-9fd2-e2f96ef47698}">
    <x18tc:text xml:space="preserve">1'500.000 tenis nike</x18tc:text>
  </x18tc:threadedComment>
  <x18tc:threadedComment ref="I168" dT="2023-09-01T15:52:18.00" personId="{5c29d9cf-0fc4-4c0f-b626-d2b051613278}" id="{83873d3b-1a74-42eb-b155-58522a799eb6}" parentId="{eb772ea1-84f5-40af-9fd2-e2f96ef47698}">
    <x18tc:text xml:space="preserve">1 cuota tenis adidas 405000</x18tc:text>
  </x18tc:threadedComment>
  <x18tc:threadedComment ref="F168" dT="2023-06-01T22:51:02.00" personId="{5c29d9cf-0fc4-4c0f-b626-d2b051613278}" id="{c096b274-235c-4294-98cd-0d9f465180b4}" done="0">
    <x18tc:text xml:space="preserve">2 bike fittings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13" dT="2024-08-09T19:59:03.00" personId="{f90eafdc-d1a7-438f-b6bb-0a5865faa415}" id="{bd25e8d2-da1c-4bd7-97b7-85791707056d}" done="0">
    <x18tc:text xml:space="preserve">2600 alejo y carlos 
455 evelyn /2</x18tc:text>
  </x18tc:threadedComment>
  <x18tc:threadedComment ref="M139" dT="2025-01-07T17:03:40.00" personId="{f90eafdc-d1a7-438f-b6bb-0a5865faa415}" id="{e58c3985-43ef-4b10-9f0f-1744fdc3f5e8}" done="0">
    <x18tc:text xml:space="preserve">Sumatoria con los Atletas de Eve que pagaron en diciembre</x18tc:text>
  </x18tc:threadedComment>
  <x18tc:threadedComment ref="C115" dT="2024-03-05T22:55:52.00" personId="{5c29d9cf-0fc4-4c0f-b626-d2b051613278}" id="{323e6e98-1969-4170-8985-5ece3639219f}" done="0">
    <x18tc:text xml:space="preserve">pago Liga de triatlon</x18tc:text>
  </x18tc:threadedComment>
  <x18tc:threadedComment ref="C144" dT="2024-04-01T17:47:17.00" personId="{f90eafdc-d1a7-438f-b6bb-0a5865faa415}" id="{bdfbdb60-0514-4880-9f62-2f700310dbd0}" done="0">
    <x18tc:text xml:space="preserve">total honorarios de nadadores Evelyn - gastos de atletas que ella entrena</x18tc:text>
  </x18tc:threadedComment>
  <x18tc:threadedComment ref="I113" dT="2024-09-09T18:47:13.00" personId="{f90eafdc-d1a7-438f-b6bb-0a5865faa415}" id="{fae9bb22-01ef-48c1-be77-7e5e17d557cc}" done="0">
    <x18tc:text xml:space="preserve">2'210 Tri y master
260 Evelyn</x18tc:text>
  </x18tc:threadedComment>
  <x18tc:threadedComment ref="H56" dT="2024-06-19T01:11:33.00" personId="{f90eafdc-d1a7-438f-b6bb-0a5865faa415}" id="{eed3252a-143b-4278-984b-d4f75d096eea}" done="0">
    <x18tc:text xml:space="preserve">paga 7 dias del mes pasado</x18tc:text>
  </x18tc:threadedComment>
  <x18tc:threadedComment ref="E113" dT="2024-05-06T15:01:45.00" personId="{f90eafdc-d1a7-438f-b6bb-0a5865faa415}" id="{6525bae8-573d-4f77-8077-39f82c8f07ad}" done="0">
    <x18tc:text xml:space="preserve">2'470 nadadores Alejo 
433 Nadadores Evelyn</x18tc:text>
  </x18tc:threadedComment>
  <x18tc:threadedComment ref="G113" dT="2024-07-09T03:20:33.00" personId="{f90eafdc-d1a7-438f-b6bb-0a5865faa415}" id="{c0ea0364-43bb-492d-87f5-70ad9b19c13a}" done="0">
    <x18tc:text xml:space="preserve">2'2750.000 Alejo y Carlos 
260.000 Piscina Evelyn</x18tc:text>
  </x18tc:threadedComment>
  <x18tc:threadedComment ref="J113" dT="2024-10-07T16:06:03.00" personId="{f90eafdc-d1a7-438f-b6bb-0a5865faa415}" id="{694d3cd0-d478-496f-8678-2c7685dbe215}" done="0">
    <x18tc:text xml:space="preserve">2'860 tri y master
260 Evelyn</x18tc:text>
  </x18tc:threadedComment>
  <x18tc:threadedComment ref="F113" dT="2024-06-06T01:47:24.00" personId="{f90eafdc-d1a7-438f-b6bb-0a5865faa415}" id="{2b8b2558-ba94-4ce7-8bb4-3d8d8aaebc20}" done="0">
    <x18tc:text xml:space="preserve">2'470 Triatletas y Master 
260 mitad  Evelyn</x18tc:text>
  </x18tc:threadedComment>
  <x18tc:threadedComment ref="C113" dT="2024-03-04T15:51:33.00" personId="{5c29d9cf-0fc4-4c0f-b626-d2b051613278}" id="{5781cfe9-498f-40a8-905b-dfc9f4fa910e}" done="0">
    <x18tc:text xml:space="preserve">2'340.000 piscinas Alejo y Carlos
504/3=168x2=336000 piscina evelyn
=2'676.000 Carlos y Alejandro Total</x18tc:text>
  </x18tc:threadedComment>
  <x18tc:threadedComment ref="L113" dT="2024-12-06T17:36:40.00" personId="{f90eafdc-d1a7-438f-b6bb-0a5865faa415}" id="{e9265d5e-e1e6-4ed0-9805-b448599666f5}" done="0">
    <x18tc:text xml:space="preserve">2'340.000 Alejo
162.500 Evelyn</x18tc:text>
  </x18tc:threadedComment>
  <x18tc:threadedComment ref="K115" dT="2024-10-22T14:22:08.00" personId="{f90eafdc-d1a7-438f-b6bb-0a5865faa415}" id="{0ae92b37-12f9-4a6a-8a81-bc1d62e7c1cf}" done="0">
    <x18tc:text xml:space="preserve">banahost pagina web</x18tc:text>
  </x18tc:threadedComment>
  <x18tc:threadedComment ref="B81" dT="2023-12-21T23:45:11.00" personId="{5c29d9cf-0fc4-4c0f-b626-d2b051613278}" id="{897c1e90-52e2-4a9d-9586-beeb7560109c}" done="0">
    <x18tc:text xml:space="preserve">Plan Anual 
1.180 USD</x18tc:text>
  </x18tc:threadedComment>
  <x18tc:threadedComment ref="D115" dT="2024-03-04T18:53:43.00" personId="{5c29d9cf-0fc4-4c0f-b626-d2b051613278}" id="{7bc00ce1-6c89-4ddd-9a47-d2c3c000d773}" done="0">
    <x18tc:text xml:space="preserve">70.000 adecuacion pagina web</x18tc:text>
  </x18tc:threadedComment>
  <x18tc:threadedComment ref="D115" dT="2024-03-05T02:06:41.00" personId="{5c29d9cf-0fc4-4c0f-b626-d2b051613278}" id="{2b7add2c-8e73-4fec-b724-27c6a74548c1}" parentId="{7bc00ce1-6c89-4ddd-9a47-d2c3c000d773}">
    <x18tc:text xml:space="preserve">60.000 Actualizacion elementor en web</x18tc:text>
  </x18tc:threadedComment>
  <x18tc:threadedComment ref="D115" dT="2024-03-19T19:55:10.00" personId="{5c29d9cf-0fc4-4c0f-b626-d2b051613278}" id="{a4cda9ff-91fb-4385-8f31-d66299d8de75}" parentId="{7bc00ce1-6c89-4ddd-9a47-d2c3c000d773}">
    <x18tc:text xml:space="preserve">143.700 gorras de regalo</x18tc:text>
  </x18tc:threadedComment>
  <x18tc:threadedComment ref="J115" dT="2024-09-20T16:38:52.00" personId="{f90eafdc-d1a7-438f-b6bb-0a5865faa415}" id="{26afdbb4-9c52-4307-abb6-ede1ce635c9f}" done="0">
    <x18tc:text xml:space="preserve">Premio Sara Maraton Medellin</x18tc:text>
  </x18tc:threadedComment>
  <x18tc:threadedComment ref="AA39" dT="2024-03-14T15:37:29.00" personId="{5c29d9cf-0fc4-4c0f-b626-d2b051613278}" id="{23d37a71-7f82-437d-8901-4b8b1f44b8ec}" done="1">
    <x18tc:text xml:space="preserve">apuntados en dinero que entra a Alejo</x18tc:text>
  </x18tc:threadedComment>
  <x18tc:threadedComment ref="V181" dT="2024-12-06T19:35:49.00" personId="{f90eafdc-d1a7-438f-b6bb-0a5865faa415}" id="{1eb94761-7454-450b-a25c-ce986846b5fa}" done="0">
    <x18tc:text xml:space="preserve">A FAVOR DE ALEJANDRO</x18tc:text>
  </x18tc:threadedComment>
  <x18tc:threadedComment ref="B136" dT="2024-02-03T14:26:02.00" personId="{5c29d9cf-0fc4-4c0f-b626-d2b051613278}" id="{acce83d1-397e-4ded-8bf0-813809a63516}" done="0">
    <x18tc:text xml:space="preserve">ESTE MES FUE PAGO DE NADADORES DE CARLOS A ALEJO, LOS SIGUIENTES SERÁN A EVELYN</x18tc:text>
  </x18tc:threadedComment>
  <x18tc:threadedComment ref="M36" dT="2024-12-20T20:31:06.00" personId="{f90eafdc-d1a7-438f-b6bb-0a5865faa415}" id="{384f1744-d8d9-4e77-b49f-0fd594109ee6}" done="0">
    <x18tc:text xml:space="preserve">Restante para cuadre de año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4" dT="2026-02-04T22:24:32.00" personId="{5c29d9cf-0fc4-4c0f-b626-d2b051613278}" id="{490ef4e8-a1eb-46c3-9e64-37568fec1a09}" done="0">
    <x18tc:text xml:space="preserve">Congelo plan</x18tc:text>
  </x18tc:threadedComment>
  <x18tc:threadedComment ref="C40" dT="2026-01-29T21:36:14.00" personId="{5c29d9cf-0fc4-4c0f-b626-d2b051613278}" id="{398f235f-82c1-441b-b629-411489e87eff}" done="0">
    <x18tc:text xml:space="preserve">refirio a Sebastian Torres para Alejandro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6-01-05T21:07:03.00" personId="{5c29d9cf-0fc4-4c0f-b626-d2b051613278}" id="{c486d1f1-73eb-4f1b-bbb4-e2ee36567f7e}" done="0">
    <x18tc:text xml:space="preserve">pago que hizo en diciembre pero fue por enero porque no tomo plan en el mes de diciembre</x18tc:text>
  </x18tc:threadedComment>
  <x18tc:threadedComment ref="B44" dT="2026-02-03T21:24:00.00" personId="{5c29d9cf-0fc4-4c0f-b626-d2b051613278}" id="{a3508994-48d3-4f4b-801d-66da1dbfd38f}" done="0">
    <x18tc:text xml:space="preserve">Jose Urrego 30
Hermano Alejo 180</x18tc:text>
  </x18tc:threadedComment>
  <x18tc:threadedComment ref="C24" dT="2026-01-29T21:35:10.00" personId="{5c29d9cf-0fc4-4c0f-b626-d2b051613278}" id="{594e1bd6-f7aa-4c06-8bfe-2fd173d9c9c5}" done="0">
    <x18tc:text xml:space="preserve">desconte referido (Santiago Carmona) 450.000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65" dT="2025-12-22T20:49:00.00" personId="{5c29d9cf-0fc4-4c0f-b626-d2b051613278}" id="{2dea3bec-c40c-431b-974c-caf375caed6c}" done="0">
    <x18tc:text xml:space="preserve">Santiago Arango 80.000</x18tc:text>
  </x18tc:threadedComment>
  <x18tc:threadedComment ref="M65" dT="2025-12-22T21:00:41.00" personId="{5c29d9cf-0fc4-4c0f-b626-d2b051613278}" id="{ab66081c-55d1-44e0-b014-79e2baa05b75}" parentId="{2dea3bec-c40c-431b-974c-caf375caed6c}">
    <x18tc:text xml:space="preserve">hermano Alejo x3 meses 240.000</x18tc:text>
  </x18tc:threadedComment>
  <x18tc:threadedComment ref="M65" dT="2025-12-26T22:59:03.00" personId="{5c29d9cf-0fc4-4c0f-b626-d2b051613278}" id="{1f4db32b-f15e-4703-a453-4dfa478263f5}" parentId="{2dea3bec-c40c-431b-974c-caf375caed6c}">
    <x18tc:text xml:space="preserve">Andres Mora 80.000</x18tc:text>
  </x18tc:threadedComment>
  <x18tc:threadedComment ref="L100" dT="2025-12-12T14:04:11.00" personId="{5c29d9cf-0fc4-4c0f-b626-d2b051613278}" id="{4bc6f374-a222-484b-ae18-65dfdeda612b}" done="0">
    <x18tc:text xml:space="preserve">Honorarios Mendoza estados de Cuenta para asamblea</x18tc:text>
  </x18tc:threadedComment>
  <x18tc:threadedComment ref="L100" dT="2025-10-31T23:41:41.00" personId="{5c29d9cf-0fc4-4c0f-b626-d2b051613278}" id="{8765b864-d934-4c48-a436-4ac9dea7978a}" done="1">
    <x18tc:text xml:space="preserve">Pago a Mendoza por estados financieros</x18tc:text>
  </x18tc:threadedComment>
  <x18tc:threadedComment ref="B41" dT="2025-01-13T17:26:33.00" personId="{f90eafdc-d1a7-438f-b6bb-0a5865faa415}" id="{26740134-f86b-4412-9400-c98d8cd29231}" done="0">
    <x18tc:text xml:space="preserve">Entró 15 de enero</x18tc:text>
  </x18tc:threadedComment>
  <x18tc:threadedComment ref="K100" dT="2025-10-31T23:47:10.00" personId="{5c29d9cf-0fc4-4c0f-b626-d2b051613278}" id="{dc67397d-4d63-4750-8cc7-43c3f51e1754}" done="0">
    <x18tc:text xml:space="preserve">Host pagina web</x18tc:text>
  </x18tc:threadedComment>
  <x18tc:threadedComment ref="G53" dT="2025-05-16T20:03:44.00" personId="{f90eafdc-d1a7-438f-b6bb-0a5865faa415}" id="{6f62dc3a-3245-4ae5-a99c-186754ac99e9}" done="0">
    <x18tc:text xml:space="preserve">entro a mitad de mayo pero pago completo porque sale de vacaciones mitad de junio</x18tc:text>
  </x18tc:threadedComment>
  <x18tc:threadedComment ref="E94" dT="2025-06-05T17:23:22.00" personId="{f90eafdc-d1a7-438f-b6bb-0a5865faa415}" id="{c3eaf534-7c00-4bc7-91cf-0547d7495015}" done="0">
    <x18tc:text xml:space="preserve">Mes por corregir ya que no tome costo de la piscina que le tocaba a Evelyn</x18tc:text>
  </x18tc:threadedComment>
  <x18tc:threadedComment ref="F99" dT="2025-06-05T17:12:06.00" personId="{f90eafdc-d1a7-438f-b6bb-0a5865faa415}" id="{9153d152-7b03-470a-8058-49ebd80da931}" done="0">
    <x18tc:text xml:space="preserve">420/2 Evelyn =210
1400 Tri y Master</x18tc:text>
  </x18tc:threadedComment>
  <x18tc:threadedComment ref="K99" dT="2025-11-10T15:51:28.00" personId="{5c29d9cf-0fc4-4c0f-b626-d2b051613278}" id="{e24d48ed-f8f3-4cbc-87e4-4508ec6bdb4c}" done="0">
    <x18tc:text xml:space="preserve">350 Evelyn 
1190 Alphax</x18tc:text>
  </x18tc:threadedComment>
  <x18tc:threadedComment ref="K65" dT="2025-11-10T16:09:39.00" personId="{5c29d9cf-0fc4-4c0f-b626-d2b051613278}" id="{d26ad059-67d7-4d6e-8feb-467e22bd38df}" done="0">
    <x18tc:text xml:space="preserve">80 Frattini
30 Ivonne
80 Santiago Arango</x18tc:text>
  </x18tc:threadedComment>
  <x18tc:threadedComment ref="K102" dT="2025-11-10T16:10:07.00" personId="{5c29d9cf-0fc4-4c0f-b626-d2b051613278}" id="{e6a07e73-2398-4571-bf55-bec6f31800af}" done="0">
    <x18tc:text xml:space="preserve">190 Recibio Alejo
80 Carlos (Jorge Mora)</x18tc:text>
  </x18tc:threadedComment>
  <x18tc:threadedComment ref="J100" dT="2025-09-26T00:56:06.00" personId="{5c29d9cf-0fc4-4c0f-b626-d2b051613278}" id="{a65388c1-f868-4850-91c2-4fd4ec1d990c}" done="0">
    <x18tc:text xml:space="preserve">Dominio pagina web x2 años</x18tc:text>
  </x18tc:threadedComment>
  <x18tc:threadedComment ref="L99" dT="2025-12-09T23:50:55.00" personId="{5c29d9cf-0fc4-4c0f-b626-d2b051613278}" id="{6fd4f86d-9e00-42e2-ab51-4528cc5be0cf}" done="0">
    <x18tc:text xml:space="preserve">560.000 alphax 
165.000 profesora</x18tc:text>
  </x18tc:threadedComment>
  <x18tc:threadedComment ref="B47" dT="2024-12-27T17:50:34.00" personId="{f90eafdc-d1a7-438f-b6bb-0a5865faa415}" id="{74fac81b-defd-4d6f-bb14-6307737c0627}" done="0">
    <x18tc:text xml:space="preserve">Cuenta Carlos Zuluaga</x18tc:text>
  </x18tc:threadedComment>
  <x18tc:threadedComment ref="H99" dT="2025-08-08T19:05:57.00" personId="{5c29d9cf-0fc4-4c0f-b626-d2b051613278}" id="{33d52661-f1dc-4b7a-9470-19804fac093e}" done="0">
    <x18tc:text xml:space="preserve">1'400 Tri
280 Master
315 Evelyn
70 sobre cargo carriles</x18tc:text>
  </x18tc:threadedComment>
  <x18tc:threadedComment ref="M100" dT="2026-01-05T21:24:53.00" personId="{5c29d9cf-0fc4-4c0f-b626-d2b051613278}" id="{b0177da7-2d59-4477-bdd7-12816b839134}" done="0">
    <x18tc:text xml:space="preserve">Pago honorarios profesora de natacion</x18tc:text>
  </x18tc:threadedComment>
  <x18tc:threadedComment ref="D68" dT="2025-04-03T22:06:09.00" personId="{f90eafdc-d1a7-438f-b6bb-0a5865faa415}" id="{371905ce-3530-49b2-beee-ed94af32a36d}" done="0">
    <x18tc:text xml:space="preserve">piscinas + pago redes + honorarios Evelyn</x18tc:text>
  </x18tc:threadedComment>
  <x18tc:threadedComment ref="H86" dT="2025-07-28T16:45:07.00" personId="{5c29d9cf-0fc4-4c0f-b626-d2b051613278}" id="{350565be-f3f3-401e-8968-657d8e1f2a6a}" done="0">
    <x18tc:text xml:space="preserve">Jose Barbaran 40</x18tc:text>
  </x18tc:threadedComment>
  <x18tc:threadedComment ref="H86" dT="2025-07-30T22:01:36.00" personId="{f90eafdc-d1a7-438f-b6bb-0a5865faa415}" id="{a644d944-6e2b-4526-914c-4bc62dd2f933}" parentId="{350565be-f3f3-401e-8968-657d8e1f2a6a}">
    <x18tc:text xml:space="preserve">Santiago Carmona 40</x18tc:text>
  </x18tc:threadedComment>
  <x18tc:threadedComment ref="B68" dT="2025-02-11T20:38:08.00" personId="{f90eafdc-d1a7-438f-b6bb-0a5865faa415}" id="{002b2da1-5999-4062-b17d-6dd2546d386a}" done="0">
    <x18tc:text xml:space="preserve">PISCINAS</x18tc:text>
  </x18tc:threadedComment>
  <x18tc:threadedComment ref="K100" dT="2025-10-21T23:12:45.00" personId="{5c29d9cf-0fc4-4c0f-b626-d2b051613278}" id="{410a8a92-fad1-4827-bdfe-bf997fb05b24}" done="1">
    <x18tc:text xml:space="preserve">Hosting pagina web</x18tc:text>
  </x18tc:threadedComment>
  <x18tc:threadedComment ref="C99" dT="2025-03-11T01:13:35.00" personId="{f90eafdc-d1a7-438f-b6bb-0a5865faa415}" id="{255f0f26-0d86-4a9d-befb-53c1a61d7e69}" done="0">
    <x18tc:text xml:space="preserve">2'660 Tri/master 245 Evelyn</x18tc:text>
  </x18tc:threadedComment>
  <x18tc:threadedComment ref="J84" dT="2025-09-09T19:22:03.00" personId="{5c29d9cf-0fc4-4c0f-b626-d2b051613278}" id="{decd7c1b-8e72-439f-bb81-ca3971012b6b}" done="1">
    <x18tc:text xml:space="preserve">Saldo a favor 180000</x18tc:text>
  </x18tc:threadedComment>
  <x18tc:threadedComment ref="J99" dT="2025-10-03T20:24:13.00" personId="{5c29d9cf-0fc4-4c0f-b626-d2b051613278}" id="{e3bae180-45f2-4eba-80a2-682e512788e1}" done="0">
    <x18tc:text xml:space="preserve">1.120.000 tri 
245.000 Evelyn</x18tc:text>
  </x18tc:threadedComment>
  <x18tc:threadedComment ref="J86" dT="2025-10-03T20:27:11.00" personId="{5c29d9cf-0fc4-4c0f-b626-d2b051613278}" id="{12bb606f-44f7-4906-94bb-514bd14e7349}" done="0">
    <x18tc:text xml:space="preserve">Jenifer Serrano</x18tc:text>
  </x18tc:threadedComment>
  <x18tc:threadedComment ref="C38" dT="2025-01-29T15:44:01.00" personId="{f90eafdc-d1a7-438f-b6bb-0a5865faa415}" id="{1a7e310f-fde6-47bb-8d55-8334d28ad719}" done="0">
    <x18tc:text xml:space="preserve">pago 30 adicional que debia del mes pasado</x18tc:text>
  </x18tc:threadedComment>
  <x18tc:threadedComment ref="B21" dT="2025-02-11T19:55:15.00" personId="{f90eafdc-d1a7-438f-b6bb-0a5865faa415}" id="{ab90f123-4bac-4b7a-8a63-02d8e5c9450c}" done="0">
    <x18tc:text xml:space="preserve">Pago con trabajo audiovisual</x18tc:text>
  </x18tc:threadedComment>
  <x18tc:threadedComment ref="B99" dT="2025-02-11T19:53:42.00" personId="{f90eafdc-d1a7-438f-b6bb-0a5865faa415}" id="{a21d0481-98e2-4c08-80bd-eed330e76912}" done="0">
    <x18tc:text xml:space="preserve">2'040.000 tri y master +160.000 mitad uso Evelyn</x18tc:text>
  </x18tc:threadedComment>
  <x18tc:threadedComment ref="I99" dT="2025-09-02T20:47:35.00" personId="{5c29d9cf-0fc4-4c0f-b626-d2b051613278}" id="{909f1449-8257-48c2-bc46-b063797cbe43}" done="0">
    <x18tc:text xml:space="preserve">985.000 Tri
300.000 Evelyn</x18tc:text>
  </x18tc:threadedComment>
  <x18tc:threadedComment ref="L89" dT="2025-12-09T22:06:15.00" personId="{5c29d9cf-0fc4-4c0f-b626-d2b051613278}" id="{442e748b-6be3-4cf4-8628-a6391fb34971}" done="0">
    <x18tc:text xml:space="preserve">Evelyn 448.000
Profe nueva 220.000</x18tc:text>
  </x18tc:threadedComment>
  <x18tc:threadedComment ref="L84" dT="2025-12-04T16:10:55.00" personId="{5c29d9cf-0fc4-4c0f-b626-d2b051613278}" id="{274e0d1c-a7ca-4412-983b-0b687f6f83cb}" done="0">
    <x18tc:text xml:space="preserve">2 clases</x18tc:text>
  </x18tc:threadedComment>
  <x18tc:threadedComment ref="L65" dT="2025-12-04T16:08:29.00" personId="{5c29d9cf-0fc4-4c0f-b626-d2b051613278}" id="{fdb51038-c315-4d6d-bce9-e3eff613bbd6}" done="0">
    <x18tc:text xml:space="preserve">Tiqueteras x5 +60 Jenifer +40 mendoza</x18tc:text>
  </x18tc:threadedComment>
  <x18tc:threadedComment ref="F100" dT="2025-05-13T19:47:36.00" personId="{f90eafdc-d1a7-438f-b6bb-0a5865faa415}" id="{e4510a6d-9584-4d36-a083-2cf2133df68a}" done="0">
    <x18tc:text xml:space="preserve">Contenidos Frattini</x18tc:text>
  </x18tc:threadedComment>
  <x18tc:threadedComment ref="I27" dT="2025-08-15T14:14:44.00" personId="{5c29d9cf-0fc4-4c0f-b626-d2b051613278}" id="{2bf0dc2b-3627-4d62-9415-9d512b12bdad}" done="0">
    <x18tc:text xml:space="preserve">Pago hasta diciembre 2024</x18tc:text>
  </x18tc:threadedComment>
  <x18tc:threadedComment ref="H31" dT="2025-07-09T21:01:38.00" personId="{f90eafdc-d1a7-438f-b6bb-0a5865faa415}" id="{a468e9e7-9ce2-4fde-9e3b-bb99f6ff5bd1}" done="0">
    <x18tc:text xml:space="preserve">pago 250 ya que mes pasado puso 100 de mas</x18tc:text>
  </x18tc:threadedComment>
  <x18tc:threadedComment ref="B100" dT="2025-02-05T16:47:01.00" personId="{f90eafdc-d1a7-438f-b6bb-0a5865faa415}" id="{04ca3633-4da7-4d78-b500-499b2d3d64f5}" done="0">
    <x18tc:text xml:space="preserve">Videos David Frattini</x18tc:text>
  </x18tc:threadedComment>
  <x18tc:threadedComment ref="G99" dT="2025-07-03T21:57:41.00" personId="{f90eafdc-d1a7-438f-b6bb-0a5865faa415}" id="{570ee700-95b2-434d-9a91-d3c2fbbd7da3}" done="0">
    <x18tc:text xml:space="preserve">1'3450 Tri y Master
280 Eve</x18tc:text>
  </x18tc:threadedComment>
  <x18tc:threadedComment ref="D99" dT="2025-04-03T21:58:38.00" personId="{f90eafdc-d1a7-438f-b6bb-0a5865faa415}" id="{06f6fe6c-aa8b-4c17-ae1d-f7ef23eac1e5}" done="0">
    <x18tc:text xml:space="preserve">1940 Tri y Master + 280 Evelyn</x18tc:text>
  </x18tc:threadedComment>
  <x18tc:threadedComment ref="E99" dT="2025-05-06T19:59:55.00" personId="{f90eafdc-d1a7-438f-b6bb-0a5865faa415}" id="{f747ea5e-7a5f-413a-8f28-e973e90e07d5}" done="0">
    <x18tc:text xml:space="preserve">1`960 carriles Master y tri
490 Aprendizaje / 2= 245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5.vml"/><Relationship Id="rId8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Relationship Id="rId7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0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1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5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7" max="7" width="17.88"/>
  </cols>
  <sheetData>
    <row r="1">
      <c r="B1" s="1" t="s">
        <v>0</v>
      </c>
      <c r="C1" s="2"/>
      <c r="D1" s="2"/>
      <c r="E1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>
      <c r="A5" s="4" t="s">
        <v>7</v>
      </c>
      <c r="B5" s="5"/>
      <c r="C5" s="6">
        <v>150000.0</v>
      </c>
      <c r="D5" s="6">
        <v>150000.0</v>
      </c>
      <c r="E5" s="6">
        <v>150000.0</v>
      </c>
      <c r="F5" s="6">
        <v>150000.0</v>
      </c>
    </row>
    <row r="6">
      <c r="A6" s="4" t="s">
        <v>8</v>
      </c>
      <c r="B6" s="6">
        <v>90000.0</v>
      </c>
      <c r="C6" s="6">
        <v>90000.0</v>
      </c>
      <c r="D6" s="7"/>
      <c r="E6" s="7"/>
      <c r="F6" s="7"/>
    </row>
    <row r="7">
      <c r="A7" s="4" t="s">
        <v>9</v>
      </c>
      <c r="B7" s="7"/>
      <c r="C7" s="7"/>
      <c r="D7" s="6">
        <v>60000.0</v>
      </c>
      <c r="E7" s="6">
        <v>120000.0</v>
      </c>
      <c r="F7" s="6">
        <v>120000.0</v>
      </c>
    </row>
    <row r="8">
      <c r="A8" s="4" t="s">
        <v>10</v>
      </c>
      <c r="B8" s="6">
        <v>233000.0</v>
      </c>
      <c r="C8" s="7"/>
      <c r="D8" s="7"/>
      <c r="E8" s="7"/>
      <c r="F8" s="7"/>
    </row>
    <row r="9">
      <c r="A9" s="4" t="s">
        <v>11</v>
      </c>
      <c r="B9" s="6">
        <v>120000.0</v>
      </c>
      <c r="C9" s="6">
        <v>120000.0</v>
      </c>
      <c r="D9" s="6">
        <v>200000.0</v>
      </c>
      <c r="E9" s="6">
        <v>120000.0</v>
      </c>
      <c r="F9" s="6">
        <v>120000.0</v>
      </c>
    </row>
    <row r="10">
      <c r="A10" s="4" t="s">
        <v>12</v>
      </c>
      <c r="B10" s="6">
        <v>300000.0</v>
      </c>
      <c r="C10" s="6">
        <v>327000.0</v>
      </c>
      <c r="D10" s="6">
        <v>330000.0</v>
      </c>
      <c r="E10" s="7"/>
      <c r="F10" s="7"/>
    </row>
    <row r="11">
      <c r="A11" s="4" t="s">
        <v>13</v>
      </c>
      <c r="B11" s="6">
        <v>120000.0</v>
      </c>
      <c r="C11" s="6">
        <v>120000.0</v>
      </c>
      <c r="D11" s="6">
        <v>120000.0</v>
      </c>
      <c r="E11" s="6">
        <v>120000.0</v>
      </c>
      <c r="F11" s="6">
        <v>120000.0</v>
      </c>
    </row>
    <row r="12">
      <c r="A12" s="4" t="s">
        <v>14</v>
      </c>
      <c r="B12" s="6">
        <v>160000.0</v>
      </c>
      <c r="C12" s="6">
        <v>160000.0</v>
      </c>
      <c r="D12" s="6">
        <v>160000.0</v>
      </c>
      <c r="E12" s="6">
        <v>160000.0</v>
      </c>
      <c r="F12" s="6">
        <v>165000.0</v>
      </c>
    </row>
    <row r="13">
      <c r="A13" s="4" t="s">
        <v>15</v>
      </c>
      <c r="B13" s="7"/>
      <c r="C13" s="6">
        <v>90000.0</v>
      </c>
      <c r="D13" s="6">
        <v>120000.0</v>
      </c>
      <c r="E13" s="6">
        <v>120000.0</v>
      </c>
      <c r="F13" s="6">
        <v>120000.0</v>
      </c>
    </row>
    <row r="14">
      <c r="A14" s="4"/>
      <c r="B14" s="7"/>
      <c r="C14" s="6"/>
      <c r="D14" s="8"/>
      <c r="E14" s="8"/>
      <c r="F14" s="8"/>
    </row>
    <row r="15">
      <c r="A15" s="4"/>
      <c r="B15" s="7"/>
      <c r="C15" s="6"/>
      <c r="D15" s="8"/>
      <c r="E15" s="8"/>
      <c r="F15" s="8"/>
    </row>
    <row r="16">
      <c r="B16" s="7"/>
      <c r="C16" s="6"/>
      <c r="D16" s="8"/>
      <c r="E16" s="8"/>
      <c r="F16" s="8"/>
    </row>
    <row r="17">
      <c r="A17" s="9" t="s">
        <v>16</v>
      </c>
      <c r="B17" s="10">
        <f t="shared" ref="B17:F17" si="1">SUM(B5:B16)</f>
        <v>1023000</v>
      </c>
      <c r="C17" s="10">
        <f t="shared" si="1"/>
        <v>1057000</v>
      </c>
      <c r="D17" s="10">
        <f t="shared" si="1"/>
        <v>1140000</v>
      </c>
      <c r="E17" s="10">
        <f t="shared" si="1"/>
        <v>790000</v>
      </c>
      <c r="F17" s="10">
        <f t="shared" si="1"/>
        <v>795000</v>
      </c>
    </row>
    <row r="18">
      <c r="B18" s="11"/>
      <c r="C18" s="11"/>
      <c r="D18" s="11"/>
      <c r="E18" s="11"/>
      <c r="F18" s="11"/>
    </row>
    <row r="19">
      <c r="A19" s="12" t="s">
        <v>17</v>
      </c>
      <c r="B19" s="7"/>
      <c r="C19" s="7"/>
      <c r="D19" s="7"/>
      <c r="E19" s="7"/>
      <c r="F19" s="7"/>
      <c r="G19" s="13" t="s">
        <v>18</v>
      </c>
    </row>
    <row r="20">
      <c r="A20" s="4" t="s">
        <v>19</v>
      </c>
      <c r="B20" s="6">
        <v>80000.0</v>
      </c>
      <c r="C20" s="6">
        <v>85000.0</v>
      </c>
      <c r="D20" s="6">
        <v>86200.0</v>
      </c>
      <c r="E20" s="6">
        <v>82800.0</v>
      </c>
      <c r="F20" s="6">
        <v>85000.0</v>
      </c>
      <c r="G20" s="14"/>
    </row>
    <row r="21">
      <c r="A21" s="4" t="s">
        <v>20</v>
      </c>
      <c r="B21" s="8"/>
      <c r="C21" s="8"/>
      <c r="D21" s="8"/>
      <c r="E21" s="8"/>
      <c r="F21" s="8"/>
      <c r="G21" s="14"/>
    </row>
    <row r="22">
      <c r="A22" s="12" t="s">
        <v>21</v>
      </c>
      <c r="B22" s="7">
        <f t="shared" ref="B22:F22" si="2">B20+B21</f>
        <v>80000</v>
      </c>
      <c r="C22" s="7">
        <f t="shared" si="2"/>
        <v>85000</v>
      </c>
      <c r="D22" s="7">
        <f t="shared" si="2"/>
        <v>86200</v>
      </c>
      <c r="E22" s="7">
        <f t="shared" si="2"/>
        <v>82800</v>
      </c>
      <c r="F22" s="7">
        <f t="shared" si="2"/>
        <v>85000</v>
      </c>
    </row>
    <row r="23">
      <c r="B23" s="11"/>
      <c r="C23" s="11"/>
      <c r="D23" s="11"/>
      <c r="E23" s="11"/>
      <c r="F23" s="11"/>
    </row>
    <row r="24">
      <c r="A24" s="15" t="s">
        <v>22</v>
      </c>
      <c r="B24" s="16">
        <f t="shared" ref="B24:F24" si="3">B17-B22</f>
        <v>943000</v>
      </c>
      <c r="C24" s="16">
        <f t="shared" si="3"/>
        <v>972000</v>
      </c>
      <c r="D24" s="16">
        <f t="shared" si="3"/>
        <v>1053800</v>
      </c>
      <c r="E24" s="16">
        <f t="shared" si="3"/>
        <v>707200</v>
      </c>
      <c r="F24" s="16">
        <f t="shared" si="3"/>
        <v>710000</v>
      </c>
    </row>
    <row r="26">
      <c r="D26" s="17" t="s">
        <v>23</v>
      </c>
    </row>
    <row r="27">
      <c r="D27" s="17" t="s">
        <v>24</v>
      </c>
      <c r="E27" s="11">
        <f>SUM(B17:F17)</f>
        <v>4805000</v>
      </c>
    </row>
    <row r="28">
      <c r="D28" s="17" t="s">
        <v>25</v>
      </c>
      <c r="E28" s="11">
        <f>SUM(B22:F22)</f>
        <v>419000</v>
      </c>
      <c r="F28" s="18">
        <f>E28/E27</f>
        <v>0.08720083247</v>
      </c>
    </row>
    <row r="29">
      <c r="D29" s="17" t="s">
        <v>26</v>
      </c>
      <c r="E29" s="11">
        <f>E27-E28</f>
        <v>4386000</v>
      </c>
    </row>
    <row r="30">
      <c r="D30" s="17" t="s">
        <v>27</v>
      </c>
      <c r="E30" s="19">
        <v>2.1878E7</v>
      </c>
    </row>
    <row r="31">
      <c r="D31" s="17" t="s">
        <v>28</v>
      </c>
      <c r="E31" s="20">
        <f>E29+E30</f>
        <v>26264000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C1" s="21"/>
      <c r="D1" s="21"/>
      <c r="E1" s="1" t="s">
        <v>29</v>
      </c>
      <c r="F1" s="22"/>
      <c r="G1" s="22"/>
    </row>
    <row r="4">
      <c r="A4" s="3" t="s">
        <v>1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6</v>
      </c>
    </row>
    <row r="5">
      <c r="A5" s="12" t="s">
        <v>9</v>
      </c>
      <c r="B5" s="6">
        <v>200000.0</v>
      </c>
      <c r="C5" s="6">
        <v>200000.0</v>
      </c>
      <c r="D5" s="6">
        <v>200000.0</v>
      </c>
      <c r="E5" s="6">
        <v>200000.0</v>
      </c>
      <c r="F5" s="6">
        <v>200000.0</v>
      </c>
      <c r="G5" s="6">
        <v>200000.0</v>
      </c>
      <c r="H5" s="6">
        <v>200000.0</v>
      </c>
      <c r="I5" s="6">
        <v>200000.0</v>
      </c>
      <c r="J5" s="6">
        <v>200000.0</v>
      </c>
      <c r="K5" s="6">
        <v>200000.0</v>
      </c>
      <c r="L5" s="6">
        <v>200000.0</v>
      </c>
      <c r="M5" s="7"/>
    </row>
    <row r="6">
      <c r="A6" s="4" t="s">
        <v>11</v>
      </c>
      <c r="B6" s="6">
        <v>200000.0</v>
      </c>
      <c r="C6" s="6">
        <v>200000.0</v>
      </c>
      <c r="D6" s="6">
        <v>200000.0</v>
      </c>
      <c r="E6" s="6">
        <v>200000.0</v>
      </c>
      <c r="F6" s="6">
        <v>200000.0</v>
      </c>
      <c r="G6" s="6">
        <v>200000.0</v>
      </c>
      <c r="H6" s="6">
        <v>200000.0</v>
      </c>
      <c r="I6" s="6">
        <v>200000.0</v>
      </c>
      <c r="J6" s="6">
        <v>200000.0</v>
      </c>
      <c r="K6" s="6">
        <v>200000.0</v>
      </c>
      <c r="L6" s="6">
        <v>200000.0</v>
      </c>
      <c r="M6" s="6">
        <v>180000.0</v>
      </c>
    </row>
    <row r="7">
      <c r="A7" s="4" t="s">
        <v>13</v>
      </c>
      <c r="B7" s="6">
        <v>200000.0</v>
      </c>
      <c r="C7" s="6">
        <v>200000.0</v>
      </c>
      <c r="D7" s="6">
        <v>200000.0</v>
      </c>
      <c r="E7" s="6">
        <v>200000.0</v>
      </c>
      <c r="F7" s="6">
        <v>200000.0</v>
      </c>
      <c r="G7" s="6">
        <v>200000.0</v>
      </c>
      <c r="H7" s="6">
        <v>200000.0</v>
      </c>
      <c r="I7" s="6">
        <v>200000.0</v>
      </c>
      <c r="J7" s="6">
        <v>200000.0</v>
      </c>
      <c r="K7" s="6">
        <v>200000.0</v>
      </c>
      <c r="L7" s="6">
        <v>200000.0</v>
      </c>
      <c r="M7" s="6">
        <v>180000.0</v>
      </c>
    </row>
    <row r="8">
      <c r="A8" s="4" t="s">
        <v>37</v>
      </c>
      <c r="B8" s="13"/>
      <c r="C8" s="6">
        <v>200000.0</v>
      </c>
      <c r="D8" s="6">
        <v>200000.0</v>
      </c>
      <c r="E8" s="6">
        <v>200000.0</v>
      </c>
      <c r="F8" s="6">
        <v>200000.0</v>
      </c>
      <c r="G8" s="6">
        <v>200000.0</v>
      </c>
      <c r="H8" s="6">
        <v>200000.0</v>
      </c>
      <c r="I8" s="6">
        <v>200000.0</v>
      </c>
      <c r="J8" s="13"/>
      <c r="K8" s="7"/>
      <c r="L8" s="6">
        <v>200000.0</v>
      </c>
      <c r="M8" s="6">
        <v>200000.0</v>
      </c>
    </row>
    <row r="9">
      <c r="A9" s="12" t="s">
        <v>38</v>
      </c>
      <c r="B9" s="13"/>
      <c r="C9" s="6">
        <v>200000.0</v>
      </c>
      <c r="D9" s="6">
        <v>200000.0</v>
      </c>
      <c r="E9" s="13"/>
      <c r="F9" s="7"/>
      <c r="G9" s="13"/>
      <c r="H9" s="13"/>
      <c r="I9" s="13"/>
      <c r="J9" s="13"/>
      <c r="K9" s="7"/>
      <c r="L9" s="13"/>
      <c r="M9" s="13"/>
    </row>
    <row r="10">
      <c r="A10" s="4" t="s">
        <v>39</v>
      </c>
      <c r="B10" s="13"/>
      <c r="C10" s="6">
        <v>200000.0</v>
      </c>
      <c r="D10" s="13"/>
      <c r="E10" s="13"/>
      <c r="F10" s="7"/>
      <c r="G10" s="13"/>
      <c r="H10" s="13"/>
      <c r="I10" s="13"/>
      <c r="J10" s="13"/>
      <c r="K10" s="6">
        <v>200000.0</v>
      </c>
      <c r="L10" s="6">
        <v>200000.0</v>
      </c>
      <c r="M10" s="6">
        <v>200000.0</v>
      </c>
    </row>
    <row r="11">
      <c r="A11" s="12" t="s">
        <v>15</v>
      </c>
      <c r="B11" s="6">
        <v>200000.0</v>
      </c>
      <c r="C11" s="6">
        <v>200000.0</v>
      </c>
      <c r="D11" s="6">
        <v>200000.0</v>
      </c>
      <c r="E11" s="6">
        <v>200000.0</v>
      </c>
      <c r="F11" s="6">
        <v>200000.0</v>
      </c>
      <c r="G11" s="6">
        <v>150000.0</v>
      </c>
      <c r="H11" s="6">
        <v>150000.0</v>
      </c>
      <c r="I11" s="13"/>
      <c r="J11" s="13"/>
      <c r="K11" s="7"/>
      <c r="L11" s="13"/>
      <c r="M11" s="13"/>
    </row>
    <row r="12">
      <c r="A12" s="4" t="s">
        <v>40</v>
      </c>
      <c r="B12" s="23"/>
      <c r="C12" s="6">
        <v>235000.0</v>
      </c>
      <c r="D12" s="6">
        <v>235000.0</v>
      </c>
      <c r="E12" s="6">
        <v>235000.0</v>
      </c>
      <c r="F12" s="6">
        <v>235000.0</v>
      </c>
      <c r="G12" s="6">
        <v>240000.0</v>
      </c>
      <c r="H12" s="6">
        <v>240000.0</v>
      </c>
      <c r="I12" s="6">
        <v>240000.0</v>
      </c>
      <c r="J12" s="6">
        <v>240000.0</v>
      </c>
      <c r="K12" s="6">
        <v>240000.0</v>
      </c>
      <c r="L12" s="6">
        <v>240000.0</v>
      </c>
      <c r="M12" s="6">
        <v>240000.0</v>
      </c>
    </row>
    <row r="13">
      <c r="A13" s="12" t="s">
        <v>41</v>
      </c>
      <c r="B13" s="6">
        <v>180000.0</v>
      </c>
      <c r="C13" s="6">
        <v>180000.0</v>
      </c>
      <c r="D13" s="6">
        <v>260000.0</v>
      </c>
      <c r="E13" s="7"/>
      <c r="F13" s="7"/>
      <c r="G13" s="7"/>
      <c r="H13" s="13"/>
      <c r="I13" s="7"/>
      <c r="J13" s="7"/>
      <c r="K13" s="7"/>
      <c r="L13" s="7"/>
      <c r="M13" s="13"/>
    </row>
    <row r="14">
      <c r="A14" s="4" t="s">
        <v>14</v>
      </c>
      <c r="B14" s="6">
        <v>160000.0</v>
      </c>
      <c r="C14" s="6">
        <v>170000.0</v>
      </c>
      <c r="D14" s="6">
        <v>280000.0</v>
      </c>
      <c r="E14" s="7"/>
      <c r="F14" s="7"/>
      <c r="G14" s="6">
        <v>188000.0</v>
      </c>
      <c r="H14" s="6">
        <v>225000.0</v>
      </c>
      <c r="I14" s="6">
        <v>55000.0</v>
      </c>
      <c r="J14" s="7"/>
      <c r="K14" s="6">
        <v>0.0</v>
      </c>
      <c r="L14" s="6">
        <v>285000.0</v>
      </c>
      <c r="M14" s="6">
        <v>204000.0</v>
      </c>
    </row>
    <row r="15">
      <c r="A15" s="12" t="s">
        <v>42</v>
      </c>
      <c r="B15" s="13"/>
      <c r="C15" s="6">
        <v>180000.0</v>
      </c>
      <c r="D15" s="6">
        <v>180000.0</v>
      </c>
      <c r="E15" s="6">
        <v>180000.0</v>
      </c>
      <c r="F15" s="6">
        <v>180000.0</v>
      </c>
      <c r="G15" s="6">
        <v>180000.0</v>
      </c>
      <c r="H15" s="13"/>
      <c r="I15" s="6">
        <v>135000.0</v>
      </c>
      <c r="J15" s="6">
        <v>90000.0</v>
      </c>
      <c r="K15" s="6">
        <v>180000.0</v>
      </c>
      <c r="L15" s="6">
        <v>180000.0</v>
      </c>
      <c r="M15" s="13"/>
    </row>
    <row r="16">
      <c r="A16" s="4" t="s">
        <v>43</v>
      </c>
      <c r="B16" s="6">
        <v>125000.0</v>
      </c>
      <c r="C16" s="6">
        <v>214000.0</v>
      </c>
      <c r="D16" s="6">
        <v>221000.0</v>
      </c>
      <c r="E16" s="6">
        <v>114000.0</v>
      </c>
      <c r="F16" s="6">
        <v>114000.0</v>
      </c>
      <c r="G16" s="6">
        <v>113000.0</v>
      </c>
      <c r="H16" s="13"/>
      <c r="I16" s="7"/>
      <c r="J16" s="7"/>
      <c r="K16" s="6">
        <v>0.0</v>
      </c>
      <c r="L16" s="6">
        <v>285000.0</v>
      </c>
      <c r="M16" s="6">
        <v>226000.0</v>
      </c>
    </row>
    <row r="17">
      <c r="A17" s="12" t="s">
        <v>44</v>
      </c>
      <c r="B17" s="13"/>
      <c r="C17" s="6">
        <v>180000.0</v>
      </c>
      <c r="D17" s="6">
        <v>180000.0</v>
      </c>
      <c r="E17" s="6">
        <v>180000.0</v>
      </c>
      <c r="F17" s="6">
        <v>180000.0</v>
      </c>
      <c r="G17" s="6">
        <v>180000.0</v>
      </c>
      <c r="H17" s="6">
        <v>180000.0</v>
      </c>
      <c r="I17" s="6">
        <v>180000.0</v>
      </c>
      <c r="J17" s="7"/>
      <c r="K17" s="7"/>
      <c r="L17" s="7"/>
      <c r="M17" s="13"/>
    </row>
    <row r="18">
      <c r="A18" s="12" t="s">
        <v>45</v>
      </c>
      <c r="B18" s="13"/>
      <c r="C18" s="6">
        <v>150000.0</v>
      </c>
      <c r="D18" s="6">
        <v>180000.0</v>
      </c>
      <c r="E18" s="7"/>
      <c r="F18" s="7"/>
      <c r="G18" s="7"/>
      <c r="H18" s="13"/>
      <c r="I18" s="7"/>
      <c r="J18" s="7"/>
      <c r="K18" s="7"/>
      <c r="L18" s="7"/>
      <c r="M18" s="13"/>
    </row>
    <row r="19">
      <c r="A19" s="4" t="s">
        <v>46</v>
      </c>
      <c r="B19" s="6">
        <v>180000.0</v>
      </c>
      <c r="C19" s="6">
        <v>180000.0</v>
      </c>
      <c r="D19" s="6">
        <v>126000.0</v>
      </c>
      <c r="E19" s="6">
        <v>180000.0</v>
      </c>
      <c r="F19" s="6">
        <v>180000.0</v>
      </c>
      <c r="G19" s="6">
        <v>180000.0</v>
      </c>
      <c r="H19" s="6">
        <v>180000.0</v>
      </c>
      <c r="I19" s="6">
        <v>180000.0</v>
      </c>
      <c r="J19" s="6">
        <v>180000.0</v>
      </c>
      <c r="K19" s="7"/>
      <c r="L19" s="6">
        <v>180000.0</v>
      </c>
      <c r="M19" s="13"/>
    </row>
    <row r="20">
      <c r="A20" s="4" t="s">
        <v>47</v>
      </c>
      <c r="B20" s="7"/>
      <c r="C20" s="7"/>
      <c r="D20" s="7"/>
      <c r="E20" s="6">
        <v>260000.0</v>
      </c>
      <c r="F20" s="6">
        <v>247000.0</v>
      </c>
      <c r="G20" s="6">
        <v>240000.0</v>
      </c>
      <c r="H20" s="6">
        <v>240000.0</v>
      </c>
      <c r="I20" s="6">
        <v>240000.0</v>
      </c>
      <c r="J20" s="6">
        <v>239000.0</v>
      </c>
      <c r="K20" s="6">
        <v>250000.0</v>
      </c>
      <c r="L20" s="6">
        <v>247000.0</v>
      </c>
      <c r="M20" s="6">
        <v>224000.0</v>
      </c>
    </row>
    <row r="21">
      <c r="A21" s="12" t="s">
        <v>48</v>
      </c>
      <c r="B21" s="7"/>
      <c r="C21" s="7"/>
      <c r="D21" s="7"/>
      <c r="E21" s="6">
        <v>260000.0</v>
      </c>
      <c r="F21" s="7"/>
      <c r="G21" s="7"/>
      <c r="H21" s="7"/>
      <c r="I21" s="7"/>
      <c r="J21" s="7"/>
      <c r="K21" s="7"/>
      <c r="L21" s="7"/>
      <c r="M21" s="7"/>
    </row>
    <row r="22">
      <c r="A22" s="4" t="s">
        <v>49</v>
      </c>
      <c r="B22" s="7"/>
      <c r="C22" s="7"/>
      <c r="D22" s="7"/>
      <c r="E22" s="6">
        <v>150000.0</v>
      </c>
      <c r="F22" s="6">
        <v>150000.0</v>
      </c>
      <c r="G22" s="6">
        <v>150000.0</v>
      </c>
      <c r="H22" s="6">
        <v>150000.0</v>
      </c>
      <c r="I22" s="6">
        <v>180000.0</v>
      </c>
      <c r="J22" s="6">
        <v>180000.0</v>
      </c>
      <c r="K22" s="6">
        <v>180000.0</v>
      </c>
      <c r="L22" s="6">
        <v>180000.0</v>
      </c>
      <c r="M22" s="7"/>
    </row>
    <row r="23">
      <c r="A23" s="12" t="s">
        <v>50</v>
      </c>
      <c r="B23" s="7"/>
      <c r="C23" s="7"/>
      <c r="D23" s="7"/>
      <c r="E23" s="13"/>
      <c r="F23" s="6">
        <v>180000.0</v>
      </c>
      <c r="G23" s="6">
        <v>180000.0</v>
      </c>
      <c r="H23" s="6">
        <v>180000.0</v>
      </c>
      <c r="I23" s="6">
        <v>130000.0</v>
      </c>
      <c r="J23" s="6">
        <v>180000.0</v>
      </c>
      <c r="K23" s="6">
        <v>230000.0</v>
      </c>
      <c r="L23" s="6">
        <v>90000.0</v>
      </c>
      <c r="M23" s="7"/>
    </row>
    <row r="24">
      <c r="A24" s="4" t="s">
        <v>51</v>
      </c>
      <c r="B24" s="7"/>
      <c r="C24" s="7"/>
      <c r="D24" s="7"/>
      <c r="E24" s="13"/>
      <c r="F24" s="6">
        <v>80000.0</v>
      </c>
      <c r="G24" s="6">
        <v>200000.0</v>
      </c>
      <c r="H24" s="6">
        <v>200000.0</v>
      </c>
      <c r="I24" s="6">
        <v>200000.0</v>
      </c>
      <c r="J24" s="6">
        <v>200000.0</v>
      </c>
      <c r="K24" s="6">
        <v>200000.0</v>
      </c>
      <c r="L24" s="6">
        <v>200000.0</v>
      </c>
      <c r="M24" s="6">
        <v>200000.0</v>
      </c>
    </row>
    <row r="25">
      <c r="A25" s="4" t="s">
        <v>10</v>
      </c>
      <c r="B25" s="7"/>
      <c r="C25" s="7"/>
      <c r="D25" s="7"/>
      <c r="E25" s="13"/>
      <c r="F25" s="13"/>
      <c r="G25" s="6">
        <v>200000.0</v>
      </c>
      <c r="H25" s="6">
        <v>200000.0</v>
      </c>
      <c r="I25" s="6">
        <v>200000.0</v>
      </c>
      <c r="J25" s="6">
        <v>200000.0</v>
      </c>
      <c r="K25" s="6">
        <v>200000.0</v>
      </c>
      <c r="L25" s="6">
        <v>200000.0</v>
      </c>
      <c r="M25" s="6">
        <v>200000.0</v>
      </c>
    </row>
    <row r="26">
      <c r="A26" s="12" t="s">
        <v>52</v>
      </c>
      <c r="B26" s="7"/>
      <c r="C26" s="7"/>
      <c r="D26" s="7"/>
      <c r="E26" s="13"/>
      <c r="F26" s="13"/>
      <c r="G26" s="7"/>
      <c r="H26" s="13"/>
      <c r="I26" s="13"/>
      <c r="J26" s="6">
        <v>200000.0</v>
      </c>
      <c r="K26" s="6">
        <v>200000.0</v>
      </c>
      <c r="L26" s="7"/>
      <c r="M26" s="7"/>
    </row>
    <row r="27">
      <c r="A27" s="4" t="s">
        <v>53</v>
      </c>
      <c r="B27" s="7"/>
      <c r="C27" s="7"/>
      <c r="D27" s="7"/>
      <c r="E27" s="6">
        <v>180000.0</v>
      </c>
      <c r="F27" s="6">
        <v>180000.0</v>
      </c>
      <c r="G27" s="7"/>
      <c r="H27" s="6">
        <v>180000.0</v>
      </c>
      <c r="I27" s="6">
        <v>180000.0</v>
      </c>
      <c r="J27" s="7"/>
      <c r="K27" s="6">
        <v>108000.0</v>
      </c>
      <c r="L27" s="6">
        <v>180000.0</v>
      </c>
      <c r="M27" s="6">
        <v>180000.0</v>
      </c>
    </row>
    <row r="28">
      <c r="A28" s="9" t="s">
        <v>16</v>
      </c>
      <c r="B28" s="10">
        <f t="shared" ref="B28:M28" si="1">SUM(B5:B27)</f>
        <v>1445000</v>
      </c>
      <c r="C28" s="10">
        <f t="shared" si="1"/>
        <v>2889000</v>
      </c>
      <c r="D28" s="10">
        <f t="shared" si="1"/>
        <v>2862000</v>
      </c>
      <c r="E28" s="10">
        <f t="shared" si="1"/>
        <v>2739000</v>
      </c>
      <c r="F28" s="10">
        <f t="shared" si="1"/>
        <v>2726000</v>
      </c>
      <c r="G28" s="10">
        <f t="shared" si="1"/>
        <v>3001000</v>
      </c>
      <c r="H28" s="10">
        <f t="shared" si="1"/>
        <v>2925000</v>
      </c>
      <c r="I28" s="10">
        <f t="shared" si="1"/>
        <v>2720000</v>
      </c>
      <c r="J28" s="10">
        <f t="shared" si="1"/>
        <v>2309000</v>
      </c>
      <c r="K28" s="10">
        <f t="shared" si="1"/>
        <v>2588000</v>
      </c>
      <c r="L28" s="10">
        <f t="shared" si="1"/>
        <v>3267000</v>
      </c>
      <c r="M28" s="10">
        <f t="shared" si="1"/>
        <v>2234000</v>
      </c>
      <c r="N28" s="11">
        <f>SUM(B28:M28)</f>
        <v>31705000</v>
      </c>
    </row>
    <row r="29">
      <c r="B29" s="11"/>
      <c r="C29" s="11"/>
      <c r="D29" s="11"/>
      <c r="E29" s="11"/>
      <c r="F29" s="11"/>
    </row>
    <row r="30">
      <c r="A30" s="12" t="s">
        <v>17</v>
      </c>
      <c r="B30" s="7"/>
      <c r="C30" s="7"/>
      <c r="D30" s="7"/>
      <c r="E30" s="7"/>
      <c r="F30" s="7"/>
      <c r="G30" s="13"/>
      <c r="H30" s="7"/>
      <c r="I30" s="7"/>
      <c r="J30" s="7"/>
      <c r="K30" s="7"/>
      <c r="L30" s="7"/>
      <c r="M30" s="13"/>
    </row>
    <row r="31">
      <c r="A31" s="4" t="s">
        <v>19</v>
      </c>
      <c r="B31" s="6">
        <v>80000.0</v>
      </c>
      <c r="C31" s="6">
        <v>86400.0</v>
      </c>
      <c r="D31" s="6">
        <v>121100.0</v>
      </c>
      <c r="E31" s="6">
        <v>140000.0</v>
      </c>
      <c r="F31" s="6"/>
      <c r="G31" s="4">
        <v>120000.0</v>
      </c>
      <c r="H31" s="4">
        <v>100000.0</v>
      </c>
      <c r="I31" s="4">
        <v>93300.0</v>
      </c>
      <c r="J31" s="14"/>
      <c r="K31" s="4">
        <v>87500.0</v>
      </c>
      <c r="L31" s="4">
        <v>50000.0</v>
      </c>
      <c r="M31" s="14"/>
    </row>
    <row r="32">
      <c r="A32" s="24" t="s">
        <v>54</v>
      </c>
      <c r="B32" s="25">
        <v>310000.0</v>
      </c>
      <c r="C32" s="25">
        <v>710000.0</v>
      </c>
      <c r="D32" s="25">
        <v>500000.0</v>
      </c>
      <c r="E32" s="26"/>
      <c r="F32" s="26"/>
      <c r="G32" s="25">
        <v>300000.0</v>
      </c>
      <c r="H32" s="25">
        <v>300000.0</v>
      </c>
      <c r="I32" s="25">
        <v>300000.0</v>
      </c>
      <c r="J32" s="25">
        <v>300000.0</v>
      </c>
      <c r="K32" s="26"/>
      <c r="L32" s="25">
        <v>210000.0</v>
      </c>
      <c r="M32" s="25">
        <v>180000.0</v>
      </c>
    </row>
    <row r="33">
      <c r="A33" s="12" t="s">
        <v>21</v>
      </c>
      <c r="B33" s="7">
        <f t="shared" ref="B33:M33" si="2">B31+B32</f>
        <v>390000</v>
      </c>
      <c r="C33" s="7">
        <f t="shared" si="2"/>
        <v>796400</v>
      </c>
      <c r="D33" s="7">
        <f t="shared" si="2"/>
        <v>621100</v>
      </c>
      <c r="E33" s="7">
        <f t="shared" si="2"/>
        <v>140000</v>
      </c>
      <c r="F33" s="7">
        <f t="shared" si="2"/>
        <v>0</v>
      </c>
      <c r="G33" s="7">
        <f t="shared" si="2"/>
        <v>420000</v>
      </c>
      <c r="H33" s="7">
        <f t="shared" si="2"/>
        <v>400000</v>
      </c>
      <c r="I33" s="7">
        <f t="shared" si="2"/>
        <v>393300</v>
      </c>
      <c r="J33" s="7">
        <f t="shared" si="2"/>
        <v>300000</v>
      </c>
      <c r="K33" s="7">
        <f t="shared" si="2"/>
        <v>87500</v>
      </c>
      <c r="L33" s="7">
        <f t="shared" si="2"/>
        <v>260000</v>
      </c>
      <c r="M33" s="7">
        <f t="shared" si="2"/>
        <v>180000</v>
      </c>
      <c r="N33" s="11">
        <f>SUM(B33:M33)</f>
        <v>3988300</v>
      </c>
    </row>
    <row r="34">
      <c r="B34" s="11"/>
      <c r="C34" s="11"/>
      <c r="D34" s="11"/>
      <c r="E34" s="11"/>
      <c r="F34" s="11"/>
    </row>
    <row r="35">
      <c r="A35" s="15" t="s">
        <v>22</v>
      </c>
      <c r="B35" s="16">
        <f t="shared" ref="B35:M35" si="3">B28-B33</f>
        <v>1055000</v>
      </c>
      <c r="C35" s="16">
        <f t="shared" si="3"/>
        <v>2092600</v>
      </c>
      <c r="D35" s="16">
        <f t="shared" si="3"/>
        <v>2240900</v>
      </c>
      <c r="E35" s="16">
        <f t="shared" si="3"/>
        <v>2599000</v>
      </c>
      <c r="F35" s="16">
        <f t="shared" si="3"/>
        <v>2726000</v>
      </c>
      <c r="G35" s="16">
        <f t="shared" si="3"/>
        <v>2581000</v>
      </c>
      <c r="H35" s="16">
        <f t="shared" si="3"/>
        <v>2525000</v>
      </c>
      <c r="I35" s="16">
        <f t="shared" si="3"/>
        <v>2326700</v>
      </c>
      <c r="J35" s="16">
        <f t="shared" si="3"/>
        <v>2009000</v>
      </c>
      <c r="K35" s="16">
        <f t="shared" si="3"/>
        <v>2500500</v>
      </c>
      <c r="L35" s="16">
        <f t="shared" si="3"/>
        <v>3007000</v>
      </c>
      <c r="M35" s="16">
        <f t="shared" si="3"/>
        <v>2054000</v>
      </c>
      <c r="N35" s="11">
        <f>SUM(B35:M35)</f>
        <v>27716700</v>
      </c>
    </row>
    <row r="38">
      <c r="M38" s="27" t="s">
        <v>24</v>
      </c>
      <c r="N38" s="11">
        <f>N28</f>
        <v>31705000</v>
      </c>
    </row>
    <row r="39">
      <c r="M39" s="28" t="s">
        <v>25</v>
      </c>
      <c r="N39" s="11">
        <f>N33</f>
        <v>3988300</v>
      </c>
      <c r="O39" s="18">
        <f>N39/N38</f>
        <v>0.1257940388</v>
      </c>
    </row>
    <row r="40">
      <c r="M40" s="29" t="s">
        <v>26</v>
      </c>
      <c r="N40" s="11">
        <f>N35</f>
        <v>27716700</v>
      </c>
    </row>
    <row r="41">
      <c r="M41" s="30" t="s">
        <v>27</v>
      </c>
      <c r="N41" s="11">
        <v>4.80282045E7</v>
      </c>
    </row>
    <row r="42">
      <c r="M42" s="31" t="s">
        <v>16</v>
      </c>
      <c r="N42" s="11">
        <f>N40+N41</f>
        <v>75744904.5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1.63"/>
    <col customWidth="1" min="3" max="3" width="9.88"/>
    <col customWidth="1" min="4" max="4" width="11.25"/>
    <col customWidth="1" min="5" max="5" width="10.13"/>
    <col customWidth="1" min="6" max="6" width="10.5"/>
    <col customWidth="1" min="7" max="7" width="10.75"/>
    <col customWidth="1" min="8" max="8" width="10.63"/>
    <col customWidth="1" min="9" max="9" width="9.5"/>
    <col customWidth="1" min="10" max="10" width="11.5"/>
    <col customWidth="1" min="11" max="11" width="10.13"/>
    <col customWidth="1" min="12" max="12" width="10.88"/>
    <col customWidth="1" min="13" max="13" width="10.75"/>
  </cols>
  <sheetData>
    <row r="1">
      <c r="A1" s="32"/>
      <c r="B1" s="32"/>
      <c r="C1" s="33"/>
      <c r="D1" s="33"/>
      <c r="E1" s="32"/>
      <c r="F1" s="32"/>
      <c r="G1" s="32"/>
      <c r="H1" s="32"/>
      <c r="I1" s="32"/>
      <c r="J1" s="32"/>
      <c r="K1" s="32"/>
      <c r="L1" s="32"/>
      <c r="M1" s="32"/>
    </row>
    <row r="2">
      <c r="A2" s="32"/>
      <c r="B2" s="32"/>
      <c r="C2" s="32"/>
      <c r="D2" s="34" t="s">
        <v>55</v>
      </c>
      <c r="E2" s="32"/>
      <c r="F2" s="32"/>
      <c r="G2" s="32"/>
      <c r="H2" s="32"/>
      <c r="I2" s="32"/>
      <c r="J2" s="32"/>
      <c r="K2" s="32"/>
      <c r="L2" s="32"/>
      <c r="M2" s="32"/>
    </row>
    <row r="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>
      <c r="A4" s="3" t="s">
        <v>1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6</v>
      </c>
    </row>
    <row r="5">
      <c r="A5" s="15" t="s">
        <v>13</v>
      </c>
      <c r="B5" s="6">
        <v>200000.0</v>
      </c>
      <c r="C5" s="6">
        <v>200000.0</v>
      </c>
      <c r="D5" s="35">
        <v>250000.0</v>
      </c>
      <c r="E5" s="35">
        <v>250000.0</v>
      </c>
      <c r="F5" s="35">
        <v>250000.0</v>
      </c>
      <c r="G5" s="35">
        <v>250000.0</v>
      </c>
      <c r="H5" s="35">
        <v>250000.0</v>
      </c>
      <c r="I5" s="35">
        <v>250000.0</v>
      </c>
      <c r="J5" s="6">
        <v>250000.0</v>
      </c>
      <c r="K5" s="6">
        <v>250000.0</v>
      </c>
      <c r="L5" s="6">
        <v>250000.0</v>
      </c>
      <c r="M5" s="35">
        <v>250000.0</v>
      </c>
    </row>
    <row r="6">
      <c r="A6" s="15" t="s">
        <v>11</v>
      </c>
      <c r="B6" s="6">
        <v>200000.0</v>
      </c>
      <c r="C6" s="6">
        <v>200000.0</v>
      </c>
      <c r="D6" s="35">
        <v>250000.0</v>
      </c>
      <c r="E6" s="35">
        <v>175000.0</v>
      </c>
      <c r="F6" s="35">
        <v>175000.0</v>
      </c>
      <c r="G6" s="35">
        <v>250000.0</v>
      </c>
      <c r="H6" s="35">
        <v>250000.0</v>
      </c>
      <c r="I6" s="35">
        <v>250000.0</v>
      </c>
      <c r="J6" s="35">
        <v>250000.0</v>
      </c>
      <c r="K6" s="35">
        <v>250000.0</v>
      </c>
      <c r="L6" s="35">
        <v>250000.0</v>
      </c>
      <c r="M6" s="35">
        <v>250000.0</v>
      </c>
    </row>
    <row r="7">
      <c r="A7" s="15" t="s">
        <v>56</v>
      </c>
      <c r="B7" s="13"/>
      <c r="C7" s="13"/>
      <c r="D7" s="13"/>
      <c r="E7" s="35">
        <v>250000.0</v>
      </c>
      <c r="F7" s="35">
        <v>250000.0</v>
      </c>
      <c r="G7" s="35">
        <v>250000.0</v>
      </c>
      <c r="H7" s="35">
        <v>280000.0</v>
      </c>
      <c r="I7" s="35">
        <v>280000.0</v>
      </c>
      <c r="J7" s="35">
        <v>280000.0</v>
      </c>
      <c r="K7" s="35">
        <v>280000.0</v>
      </c>
      <c r="L7" s="35">
        <v>280000.0</v>
      </c>
      <c r="M7" s="35">
        <v>280000.0</v>
      </c>
    </row>
    <row r="8">
      <c r="A8" s="15" t="s">
        <v>51</v>
      </c>
      <c r="B8" s="6">
        <v>200000.0</v>
      </c>
      <c r="C8" s="6">
        <v>200000.0</v>
      </c>
      <c r="D8" s="35">
        <v>250000.0</v>
      </c>
      <c r="E8" s="35">
        <v>250000.0</v>
      </c>
      <c r="F8" s="35">
        <v>250000.0</v>
      </c>
      <c r="G8" s="35">
        <v>250000.0</v>
      </c>
      <c r="H8" s="35">
        <v>250000.0</v>
      </c>
      <c r="I8" s="35">
        <v>250000.0</v>
      </c>
      <c r="J8" s="35">
        <v>250000.0</v>
      </c>
      <c r="K8" s="35">
        <v>250000.0</v>
      </c>
      <c r="L8" s="35">
        <v>280000.0</v>
      </c>
      <c r="M8" s="35">
        <v>250000.0</v>
      </c>
    </row>
    <row r="9">
      <c r="A9" s="12" t="s">
        <v>39</v>
      </c>
      <c r="B9" s="6">
        <v>200000.0</v>
      </c>
      <c r="C9" s="6">
        <v>200000.0</v>
      </c>
      <c r="D9" s="35">
        <v>250000.0</v>
      </c>
      <c r="E9" s="35">
        <v>250000.0</v>
      </c>
      <c r="F9" s="35">
        <v>250000.0</v>
      </c>
      <c r="G9" s="35">
        <v>250000.0</v>
      </c>
      <c r="H9" s="35">
        <v>250000.0</v>
      </c>
      <c r="I9" s="35">
        <v>250000.0</v>
      </c>
      <c r="J9" s="35">
        <v>250000.0</v>
      </c>
      <c r="K9" s="35">
        <v>250000.0</v>
      </c>
      <c r="L9" s="13"/>
      <c r="M9" s="13"/>
    </row>
    <row r="10">
      <c r="A10" s="12" t="s">
        <v>57</v>
      </c>
      <c r="B10" s="36"/>
      <c r="C10" s="36"/>
      <c r="D10" s="35">
        <v>250000.0</v>
      </c>
      <c r="E10" s="13"/>
      <c r="F10" s="35">
        <v>250000.0</v>
      </c>
      <c r="G10" s="35">
        <v>250000.0</v>
      </c>
      <c r="H10" s="35">
        <v>250000.0</v>
      </c>
      <c r="I10" s="13"/>
      <c r="J10" s="7"/>
      <c r="K10" s="13"/>
      <c r="L10" s="13"/>
      <c r="M10" s="13"/>
    </row>
    <row r="11">
      <c r="A11" s="15" t="s">
        <v>58</v>
      </c>
      <c r="B11" s="13"/>
      <c r="C11" s="13"/>
      <c r="D11" s="35">
        <v>280000.0</v>
      </c>
      <c r="E11" s="35">
        <v>250000.0</v>
      </c>
      <c r="F11" s="35">
        <v>310000.0</v>
      </c>
      <c r="G11" s="35">
        <v>280000.0</v>
      </c>
      <c r="H11" s="35">
        <v>280000.0</v>
      </c>
      <c r="I11" s="35">
        <v>280000.0</v>
      </c>
      <c r="J11" s="35">
        <v>280000.0</v>
      </c>
      <c r="K11" s="35">
        <v>196000.0</v>
      </c>
      <c r="L11" s="35">
        <v>280000.0</v>
      </c>
      <c r="M11" s="35">
        <v>280000.0</v>
      </c>
    </row>
    <row r="12">
      <c r="A12" s="15" t="s">
        <v>59</v>
      </c>
      <c r="B12" s="13"/>
      <c r="C12" s="13"/>
      <c r="D12" s="13"/>
      <c r="E12" s="35">
        <v>280000.0</v>
      </c>
      <c r="F12" s="35">
        <v>280000.0</v>
      </c>
      <c r="G12" s="35">
        <v>280000.0</v>
      </c>
      <c r="H12" s="35">
        <v>280000.0</v>
      </c>
      <c r="I12" s="35">
        <v>280000.0</v>
      </c>
      <c r="J12" s="35">
        <v>280000.0</v>
      </c>
      <c r="K12" s="35">
        <v>280000.0</v>
      </c>
      <c r="L12" s="35">
        <v>280000.0</v>
      </c>
      <c r="M12" s="35">
        <v>280000.0</v>
      </c>
    </row>
    <row r="13">
      <c r="A13" s="15" t="s">
        <v>60</v>
      </c>
      <c r="B13" s="13"/>
      <c r="C13" s="13"/>
      <c r="D13" s="35">
        <v>175000.0</v>
      </c>
      <c r="E13" s="35">
        <v>250000.0</v>
      </c>
      <c r="F13" s="35">
        <v>250000.0</v>
      </c>
      <c r="G13" s="35">
        <v>280000.0</v>
      </c>
      <c r="H13" s="35">
        <v>280000.0</v>
      </c>
      <c r="I13" s="35">
        <v>280000.0</v>
      </c>
      <c r="J13" s="35">
        <v>280000.0</v>
      </c>
      <c r="K13" s="35">
        <v>280000.0</v>
      </c>
      <c r="L13" s="35">
        <v>280000.0</v>
      </c>
      <c r="M13" s="35">
        <v>280000.0</v>
      </c>
    </row>
    <row r="14">
      <c r="A14" s="15" t="s">
        <v>61</v>
      </c>
      <c r="B14" s="13"/>
      <c r="C14" s="13"/>
      <c r="D14" s="13"/>
      <c r="E14" s="13"/>
      <c r="F14" s="13"/>
      <c r="G14" s="35">
        <v>186000.0</v>
      </c>
      <c r="H14" s="35">
        <v>280000.0</v>
      </c>
      <c r="I14" s="35">
        <v>280000.0</v>
      </c>
      <c r="J14" s="35">
        <v>280000.0</v>
      </c>
      <c r="K14" s="35">
        <v>280000.0</v>
      </c>
      <c r="L14" s="35">
        <v>280000.0</v>
      </c>
      <c r="M14" s="35">
        <v>280000.0</v>
      </c>
    </row>
    <row r="15">
      <c r="A15" s="15" t="s">
        <v>62</v>
      </c>
      <c r="B15" s="13"/>
      <c r="C15" s="13"/>
      <c r="D15" s="13"/>
      <c r="E15" s="13"/>
      <c r="F15" s="13"/>
      <c r="G15" s="13"/>
      <c r="H15" s="35">
        <v>196000.0</v>
      </c>
      <c r="I15" s="35">
        <v>280000.0</v>
      </c>
      <c r="J15" s="35">
        <v>280000.0</v>
      </c>
      <c r="K15" s="35">
        <v>280000.0</v>
      </c>
      <c r="L15" s="35">
        <v>280000.0</v>
      </c>
      <c r="M15" s="35">
        <v>280000.0</v>
      </c>
    </row>
    <row r="16">
      <c r="A16" s="12" t="s">
        <v>63</v>
      </c>
      <c r="B16" s="13"/>
      <c r="C16" s="13"/>
      <c r="D16" s="13"/>
      <c r="E16" s="13"/>
      <c r="F16" s="13"/>
      <c r="G16" s="13"/>
      <c r="H16" s="35">
        <v>186000.0</v>
      </c>
      <c r="I16" s="35">
        <v>280000.0</v>
      </c>
      <c r="J16" s="35">
        <v>280000.0</v>
      </c>
      <c r="K16" s="13"/>
      <c r="L16" s="35">
        <v>280000.0</v>
      </c>
      <c r="M16" s="7"/>
    </row>
    <row r="17">
      <c r="A17" s="15" t="s">
        <v>64</v>
      </c>
      <c r="B17" s="13"/>
      <c r="C17" s="13"/>
      <c r="D17" s="13"/>
      <c r="E17" s="13"/>
      <c r="F17" s="13"/>
      <c r="G17" s="13"/>
      <c r="H17" s="35">
        <v>158000.0</v>
      </c>
      <c r="I17" s="35">
        <v>280000.0</v>
      </c>
      <c r="J17" s="35">
        <v>280000.0</v>
      </c>
      <c r="K17" s="35">
        <v>280000.0</v>
      </c>
      <c r="L17" s="35">
        <v>280000.0</v>
      </c>
      <c r="M17" s="35">
        <v>280000.0</v>
      </c>
    </row>
    <row r="18">
      <c r="A18" s="15" t="s">
        <v>65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35">
        <v>280000.0</v>
      </c>
    </row>
    <row r="19">
      <c r="A19" s="15" t="s">
        <v>66</v>
      </c>
      <c r="B19" s="13"/>
      <c r="C19" s="13"/>
      <c r="D19" s="13"/>
      <c r="E19" s="13"/>
      <c r="F19" s="13"/>
      <c r="G19" s="13"/>
      <c r="H19" s="35">
        <v>125000.0</v>
      </c>
      <c r="I19" s="35">
        <v>250000.0</v>
      </c>
      <c r="J19" s="35">
        <v>250000.0</v>
      </c>
      <c r="K19" s="35">
        <v>250000.0</v>
      </c>
      <c r="L19" s="35">
        <v>250000.0</v>
      </c>
      <c r="M19" s="35">
        <v>250000.0</v>
      </c>
    </row>
    <row r="20">
      <c r="A20" s="15" t="s">
        <v>67</v>
      </c>
      <c r="B20" s="13"/>
      <c r="C20" s="13"/>
      <c r="D20" s="13"/>
      <c r="E20" s="13"/>
      <c r="F20" s="13"/>
      <c r="G20" s="13"/>
      <c r="H20" s="13"/>
      <c r="I20" s="35">
        <v>280000.0</v>
      </c>
      <c r="J20" s="35">
        <v>280000.0</v>
      </c>
      <c r="K20" s="35">
        <v>280000.0</v>
      </c>
      <c r="L20" s="35">
        <v>280000.0</v>
      </c>
      <c r="M20" s="35">
        <v>280000.0</v>
      </c>
    </row>
    <row r="21">
      <c r="A21" s="12" t="s">
        <v>68</v>
      </c>
      <c r="B21" s="13"/>
      <c r="C21" s="13"/>
      <c r="D21" s="13"/>
      <c r="E21" s="35">
        <v>280000.0</v>
      </c>
      <c r="F21" s="35">
        <v>280000.0</v>
      </c>
      <c r="G21" s="13"/>
      <c r="H21" s="13"/>
      <c r="I21" s="13"/>
      <c r="J21" s="13"/>
      <c r="K21" s="13"/>
      <c r="L21" s="13"/>
      <c r="M21" s="7"/>
    </row>
    <row r="22">
      <c r="A22" s="15" t="s">
        <v>69</v>
      </c>
      <c r="B22" s="13"/>
      <c r="C22" s="13"/>
      <c r="D22" s="13"/>
      <c r="E22" s="13"/>
      <c r="F22" s="13"/>
      <c r="G22" s="13"/>
      <c r="H22" s="13"/>
      <c r="I22" s="13"/>
      <c r="J22" s="13"/>
      <c r="K22" s="35">
        <v>280000.0</v>
      </c>
      <c r="L22" s="35">
        <v>280000.0</v>
      </c>
      <c r="M22" s="35">
        <v>280000.0</v>
      </c>
    </row>
    <row r="23">
      <c r="A23" s="12" t="s">
        <v>70</v>
      </c>
      <c r="B23" s="13"/>
      <c r="C23" s="13"/>
      <c r="D23" s="13"/>
      <c r="E23" s="13"/>
      <c r="F23" s="35">
        <v>280000.0</v>
      </c>
      <c r="G23" s="35">
        <v>280000.0</v>
      </c>
      <c r="H23" s="13"/>
      <c r="I23" s="13"/>
      <c r="J23" s="13"/>
      <c r="K23" s="13"/>
      <c r="L23" s="13"/>
      <c r="M23" s="7"/>
    </row>
    <row r="24">
      <c r="A24" s="12" t="s">
        <v>46</v>
      </c>
      <c r="B24" s="13"/>
      <c r="C24" s="13"/>
      <c r="D24" s="13"/>
      <c r="E24" s="6">
        <v>125000.0</v>
      </c>
      <c r="F24" s="6">
        <v>250000.0</v>
      </c>
      <c r="G24" s="6">
        <v>250000.0</v>
      </c>
      <c r="H24" s="35">
        <v>280000.0</v>
      </c>
      <c r="I24" s="35">
        <v>280000.0</v>
      </c>
      <c r="J24" s="35">
        <v>270000.0</v>
      </c>
      <c r="K24" s="35">
        <v>290000.0</v>
      </c>
      <c r="L24" s="13"/>
      <c r="M24" s="13"/>
    </row>
    <row r="25">
      <c r="A25" s="15" t="s">
        <v>50</v>
      </c>
      <c r="B25" s="6">
        <v>90000.0</v>
      </c>
      <c r="C25" s="6">
        <v>200000.0</v>
      </c>
      <c r="D25" s="6">
        <v>200000.0</v>
      </c>
      <c r="E25" s="6">
        <v>200000.0</v>
      </c>
      <c r="F25" s="6">
        <v>200000.0</v>
      </c>
      <c r="G25" s="6">
        <v>200000.0</v>
      </c>
      <c r="H25" s="6">
        <v>200000.0</v>
      </c>
      <c r="I25" s="6">
        <v>200000.0</v>
      </c>
      <c r="J25" s="35">
        <v>280000.0</v>
      </c>
      <c r="K25" s="35">
        <v>280000.0</v>
      </c>
      <c r="L25" s="35">
        <v>280000.0</v>
      </c>
      <c r="M25" s="35"/>
    </row>
    <row r="26">
      <c r="A26" s="12" t="s">
        <v>43</v>
      </c>
      <c r="B26" s="6">
        <v>225000.0</v>
      </c>
      <c r="C26" s="6">
        <v>199000.0</v>
      </c>
      <c r="D26" s="37">
        <v>257000.0</v>
      </c>
      <c r="E26" s="6">
        <v>254000.0</v>
      </c>
      <c r="F26" s="13"/>
      <c r="G26" s="6">
        <v>288000.0</v>
      </c>
      <c r="H26" s="6">
        <v>307000.0</v>
      </c>
      <c r="I26" s="6">
        <v>310000.0</v>
      </c>
      <c r="J26" s="6">
        <v>150000.0</v>
      </c>
      <c r="K26" s="13"/>
      <c r="L26" s="13"/>
      <c r="M26" s="7"/>
    </row>
    <row r="27">
      <c r="A27" s="38" t="s">
        <v>10</v>
      </c>
      <c r="B27" s="6">
        <v>200000.0</v>
      </c>
      <c r="C27" s="6">
        <v>200000.0</v>
      </c>
      <c r="D27" s="37">
        <v>230000.0</v>
      </c>
      <c r="E27" s="37">
        <v>230000.0</v>
      </c>
      <c r="F27" s="6">
        <v>230000.0</v>
      </c>
      <c r="G27" s="37">
        <v>230000.0</v>
      </c>
      <c r="H27" s="13"/>
      <c r="I27" s="6">
        <v>230000.0</v>
      </c>
      <c r="J27" s="37">
        <v>230000.0</v>
      </c>
      <c r="K27" s="37">
        <v>230000.0</v>
      </c>
      <c r="L27" s="37">
        <v>230000.0</v>
      </c>
      <c r="M27" s="6">
        <v>230000.0</v>
      </c>
    </row>
    <row r="28">
      <c r="A28" s="38" t="s">
        <v>71</v>
      </c>
      <c r="B28" s="6">
        <v>277000.0</v>
      </c>
      <c r="C28" s="6">
        <v>282000.0</v>
      </c>
      <c r="D28" s="37">
        <v>203000.0</v>
      </c>
      <c r="E28" s="37">
        <v>280000.0</v>
      </c>
      <c r="F28" s="37">
        <v>306000.0</v>
      </c>
      <c r="G28" s="37">
        <v>329000.0</v>
      </c>
      <c r="H28" s="37">
        <v>344000.0</v>
      </c>
      <c r="I28" s="37">
        <v>356000.0</v>
      </c>
      <c r="J28" s="37">
        <v>340000.0</v>
      </c>
      <c r="K28" s="37">
        <v>340000.0</v>
      </c>
      <c r="L28" s="37">
        <v>348000.0</v>
      </c>
      <c r="M28" s="37">
        <v>312000.0</v>
      </c>
    </row>
    <row r="29">
      <c r="A29" s="39" t="s">
        <v>72</v>
      </c>
      <c r="B29" s="13"/>
      <c r="C29" s="13"/>
      <c r="D29" s="37">
        <v>250000.0</v>
      </c>
      <c r="E29" s="37">
        <v>250000.0</v>
      </c>
      <c r="F29" s="37">
        <v>250000.0</v>
      </c>
      <c r="G29" s="37">
        <v>250000.0</v>
      </c>
      <c r="H29" s="37">
        <v>250000.0</v>
      </c>
      <c r="I29" s="37">
        <v>250000.0</v>
      </c>
      <c r="J29" s="37">
        <v>250000.0</v>
      </c>
      <c r="K29" s="37">
        <v>250000.0</v>
      </c>
      <c r="L29" s="37">
        <v>250000.0</v>
      </c>
      <c r="M29" s="37">
        <v>250000.0</v>
      </c>
    </row>
    <row r="30">
      <c r="A30" s="40" t="s">
        <v>73</v>
      </c>
      <c r="B30" s="13"/>
      <c r="C30" s="13"/>
      <c r="D30" s="13"/>
      <c r="E30" s="13"/>
      <c r="F30" s="13"/>
      <c r="G30" s="13"/>
      <c r="H30" s="13"/>
      <c r="I30" s="13"/>
      <c r="J30" s="37">
        <v>300000.0</v>
      </c>
      <c r="K30" s="6">
        <v>300000.0</v>
      </c>
      <c r="L30" s="6">
        <v>310000.0</v>
      </c>
      <c r="M30" s="6">
        <v>317000.0</v>
      </c>
    </row>
    <row r="31">
      <c r="A31" s="39" t="s">
        <v>74</v>
      </c>
      <c r="B31" s="13"/>
      <c r="C31" s="13"/>
      <c r="D31" s="13"/>
      <c r="E31" s="13"/>
      <c r="F31" s="13"/>
      <c r="G31" s="13"/>
      <c r="H31" s="13"/>
      <c r="I31" s="13"/>
      <c r="J31" s="6">
        <v>90000.0</v>
      </c>
      <c r="K31" s="37">
        <v>280000.0</v>
      </c>
      <c r="L31" s="37">
        <v>280000.0</v>
      </c>
      <c r="M31" s="37">
        <v>280000.0</v>
      </c>
    </row>
    <row r="32">
      <c r="A32" s="38" t="s">
        <v>75</v>
      </c>
      <c r="B32" s="41"/>
      <c r="C32" s="41"/>
      <c r="D32" s="42"/>
      <c r="E32" s="13"/>
      <c r="F32" s="13"/>
      <c r="G32" s="13"/>
      <c r="H32" s="13"/>
      <c r="I32" s="13"/>
      <c r="J32" s="13"/>
      <c r="K32" s="37">
        <v>280000.0</v>
      </c>
      <c r="L32" s="37">
        <v>280000.0</v>
      </c>
      <c r="M32" s="37">
        <v>280000.0</v>
      </c>
    </row>
    <row r="33">
      <c r="A33" s="12" t="s">
        <v>70</v>
      </c>
      <c r="B33" s="41"/>
      <c r="C33" s="41"/>
      <c r="D33" s="42"/>
      <c r="E33" s="13"/>
      <c r="F33" s="13"/>
      <c r="G33" s="13"/>
      <c r="H33" s="13"/>
      <c r="I33" s="13"/>
      <c r="J33" s="13"/>
      <c r="K33" s="13"/>
      <c r="L33" s="37">
        <v>250000.0</v>
      </c>
      <c r="M33" s="13"/>
    </row>
    <row r="34">
      <c r="A34" s="4" t="s">
        <v>47</v>
      </c>
      <c r="B34" s="13"/>
      <c r="C34" s="13"/>
      <c r="D34" s="13"/>
      <c r="E34" s="13"/>
      <c r="F34" s="7"/>
      <c r="G34" s="6">
        <v>288000.0</v>
      </c>
      <c r="H34" s="6">
        <v>306000.0</v>
      </c>
      <c r="I34" s="6">
        <v>317000.0</v>
      </c>
      <c r="J34" s="6">
        <v>300000.0</v>
      </c>
      <c r="K34" s="6">
        <v>300000.0</v>
      </c>
      <c r="L34" s="6">
        <v>310000.0</v>
      </c>
      <c r="M34" s="6">
        <v>317000.0</v>
      </c>
    </row>
    <row r="35">
      <c r="A35" s="4" t="s">
        <v>76</v>
      </c>
      <c r="B35" s="13"/>
      <c r="C35" s="13"/>
      <c r="D35" s="13"/>
      <c r="E35" s="13"/>
      <c r="F35" s="7"/>
      <c r="G35" s="13"/>
      <c r="H35" s="6">
        <v>200000.0</v>
      </c>
      <c r="I35" s="6">
        <v>200000.0</v>
      </c>
      <c r="J35" s="6">
        <v>200000.0</v>
      </c>
      <c r="K35" s="6">
        <v>200000.0</v>
      </c>
      <c r="L35" s="6">
        <v>200000.0</v>
      </c>
      <c r="M35" s="6">
        <v>200000.0</v>
      </c>
    </row>
    <row r="36">
      <c r="A36" s="4" t="s">
        <v>77</v>
      </c>
      <c r="B36" s="13"/>
      <c r="C36" s="13"/>
      <c r="D36" s="13"/>
      <c r="E36" s="13"/>
      <c r="F36" s="7"/>
      <c r="G36" s="13"/>
      <c r="H36" s="6">
        <v>250000.0</v>
      </c>
      <c r="I36" s="6">
        <v>250000.0</v>
      </c>
      <c r="J36" s="6">
        <v>250000.0</v>
      </c>
      <c r="K36" s="6">
        <v>250000.0</v>
      </c>
      <c r="L36" s="6">
        <v>250000.0</v>
      </c>
      <c r="M36" s="6">
        <v>250000.0</v>
      </c>
    </row>
    <row r="37">
      <c r="A37" s="4" t="s">
        <v>78</v>
      </c>
      <c r="B37" s="6">
        <v>276000.0</v>
      </c>
      <c r="C37" s="6">
        <v>137000.0</v>
      </c>
      <c r="D37" s="6">
        <v>257000.0</v>
      </c>
      <c r="E37" s="6">
        <v>256000.0</v>
      </c>
      <c r="F37" s="6">
        <v>269000.0</v>
      </c>
      <c r="G37" s="6">
        <v>252000.0</v>
      </c>
      <c r="H37" s="6">
        <v>268000.0</v>
      </c>
      <c r="I37" s="6">
        <v>272000.0</v>
      </c>
      <c r="J37" s="6">
        <v>265000.0</v>
      </c>
      <c r="K37" s="6">
        <v>265000.0</v>
      </c>
      <c r="L37" s="6">
        <v>266000.0</v>
      </c>
      <c r="M37" s="6">
        <v>277000.0</v>
      </c>
    </row>
    <row r="38">
      <c r="A38" s="12" t="s">
        <v>79</v>
      </c>
      <c r="B38" s="13"/>
      <c r="C38" s="6">
        <v>282000.0</v>
      </c>
      <c r="D38" s="6">
        <v>292000.0</v>
      </c>
      <c r="E38" s="6">
        <v>280000.0</v>
      </c>
      <c r="F38" s="6">
        <v>306000.0</v>
      </c>
      <c r="G38" s="6">
        <v>292000.0</v>
      </c>
      <c r="H38" s="6">
        <v>300000.0</v>
      </c>
      <c r="I38" s="6">
        <v>313000.0</v>
      </c>
      <c r="J38" s="6">
        <v>300000.0</v>
      </c>
      <c r="K38" s="6">
        <v>300000.0</v>
      </c>
      <c r="L38" s="6">
        <v>300000.0</v>
      </c>
      <c r="M38" s="13"/>
    </row>
    <row r="39">
      <c r="A39" s="4" t="s">
        <v>80</v>
      </c>
      <c r="B39" s="13"/>
      <c r="C39" s="13"/>
      <c r="D39" s="13"/>
      <c r="E39" s="13"/>
      <c r="F39" s="13"/>
      <c r="G39" s="13"/>
      <c r="H39" s="13"/>
      <c r="I39" s="13"/>
      <c r="J39" s="6">
        <v>280000.0</v>
      </c>
      <c r="K39" s="6">
        <v>280000.0</v>
      </c>
      <c r="L39" s="6">
        <v>280000.0</v>
      </c>
      <c r="M39" s="6">
        <v>280000.0</v>
      </c>
    </row>
    <row r="40">
      <c r="A40" s="4" t="s">
        <v>49</v>
      </c>
      <c r="B40" s="6">
        <v>180000.0</v>
      </c>
      <c r="C40" s="6">
        <v>180000.0</v>
      </c>
      <c r="D40" s="6">
        <v>200000.0</v>
      </c>
      <c r="E40" s="6">
        <v>200000.0</v>
      </c>
      <c r="F40" s="6">
        <v>200000.0</v>
      </c>
      <c r="G40" s="6">
        <v>200000.0</v>
      </c>
      <c r="H40" s="6">
        <v>200000.0</v>
      </c>
      <c r="I40" s="6">
        <v>200000.0</v>
      </c>
      <c r="J40" s="6">
        <v>200000.0</v>
      </c>
      <c r="K40" s="6">
        <v>200000.0</v>
      </c>
      <c r="L40" s="6">
        <v>200000.0</v>
      </c>
      <c r="M40" s="6">
        <v>200000.0</v>
      </c>
    </row>
    <row r="41">
      <c r="A41" s="4" t="s">
        <v>53</v>
      </c>
      <c r="B41" s="6">
        <v>180000.0</v>
      </c>
      <c r="C41" s="6">
        <v>180000.0</v>
      </c>
      <c r="D41" s="6">
        <v>200000.0</v>
      </c>
      <c r="E41" s="6">
        <v>200000.0</v>
      </c>
      <c r="F41" s="6">
        <v>200000.0</v>
      </c>
      <c r="G41" s="6">
        <v>200000.0</v>
      </c>
      <c r="H41" s="6">
        <v>200000.0</v>
      </c>
      <c r="I41" s="6">
        <v>200000.0</v>
      </c>
      <c r="J41" s="6">
        <v>200000.0</v>
      </c>
      <c r="K41" s="6">
        <v>200000.0</v>
      </c>
      <c r="L41" s="6">
        <v>200000.0</v>
      </c>
      <c r="M41" s="6">
        <v>200000.0</v>
      </c>
    </row>
    <row r="42">
      <c r="A42" s="4" t="s">
        <v>81</v>
      </c>
      <c r="B42" s="41"/>
      <c r="C42" s="41"/>
      <c r="D42" s="42"/>
      <c r="E42" s="6">
        <v>200000.0</v>
      </c>
      <c r="F42" s="6">
        <v>200000.0</v>
      </c>
      <c r="G42" s="6">
        <v>200000.0</v>
      </c>
      <c r="H42" s="6">
        <v>200000.0</v>
      </c>
      <c r="I42" s="6">
        <v>200000.0</v>
      </c>
      <c r="J42" s="6">
        <v>200000.0</v>
      </c>
      <c r="K42" s="6">
        <v>200000.0</v>
      </c>
      <c r="L42" s="6">
        <v>200000.0</v>
      </c>
      <c r="M42" s="6">
        <v>200000.0</v>
      </c>
    </row>
    <row r="43">
      <c r="A43" s="12" t="s">
        <v>82</v>
      </c>
      <c r="B43" s="41"/>
      <c r="C43" s="41"/>
      <c r="D43" s="42"/>
      <c r="E43" s="13"/>
      <c r="F43" s="13"/>
      <c r="G43" s="13"/>
      <c r="H43" s="13"/>
      <c r="I43" s="6">
        <v>280000.0</v>
      </c>
      <c r="J43" s="6">
        <v>280000.0</v>
      </c>
      <c r="K43" s="6">
        <v>280000.0</v>
      </c>
      <c r="L43" s="6">
        <v>250000.0</v>
      </c>
      <c r="M43" s="13"/>
    </row>
    <row r="44">
      <c r="A44" s="4" t="s">
        <v>83</v>
      </c>
      <c r="B44" s="41"/>
      <c r="C44" s="41"/>
      <c r="D44" s="42"/>
      <c r="E44" s="13"/>
      <c r="F44" s="13"/>
      <c r="G44" s="13"/>
      <c r="H44" s="13"/>
      <c r="I44" s="6">
        <v>135000.0</v>
      </c>
      <c r="J44" s="6">
        <v>200000.0</v>
      </c>
      <c r="K44" s="6">
        <v>200000.0</v>
      </c>
      <c r="L44" s="6">
        <v>200000.0</v>
      </c>
      <c r="M44" s="6">
        <v>200000.0</v>
      </c>
    </row>
    <row r="45">
      <c r="A45" s="4" t="s">
        <v>84</v>
      </c>
      <c r="B45" s="41"/>
      <c r="C45" s="41"/>
      <c r="D45" s="42"/>
      <c r="E45" s="13"/>
      <c r="F45" s="13"/>
      <c r="G45" s="13"/>
      <c r="H45" s="13"/>
      <c r="I45" s="13"/>
      <c r="J45" s="13"/>
      <c r="K45" s="6">
        <v>250000.0</v>
      </c>
      <c r="L45" s="6">
        <v>250000.0</v>
      </c>
      <c r="M45" s="6">
        <v>250000.0</v>
      </c>
    </row>
    <row r="46">
      <c r="A46" s="4" t="s">
        <v>85</v>
      </c>
      <c r="B46" s="41"/>
      <c r="C46" s="41"/>
      <c r="D46" s="42"/>
      <c r="E46" s="13"/>
      <c r="F46" s="13"/>
      <c r="G46" s="13"/>
      <c r="H46" s="13"/>
      <c r="I46" s="13"/>
      <c r="J46" s="13"/>
      <c r="K46" s="6">
        <v>246000.0</v>
      </c>
      <c r="L46" s="6">
        <v>311000.0</v>
      </c>
      <c r="M46" s="6">
        <v>198000.0</v>
      </c>
    </row>
    <row r="47">
      <c r="A47" s="12" t="s">
        <v>86</v>
      </c>
      <c r="B47" s="41"/>
      <c r="C47" s="41"/>
      <c r="D47" s="42"/>
      <c r="E47" s="13"/>
      <c r="F47" s="13"/>
      <c r="G47" s="13"/>
      <c r="H47" s="13"/>
      <c r="I47" s="13"/>
      <c r="J47" s="13"/>
      <c r="K47" s="6">
        <v>338000.0</v>
      </c>
      <c r="L47" s="13"/>
      <c r="M47" s="13"/>
    </row>
    <row r="48">
      <c r="A48" s="4" t="s">
        <v>14</v>
      </c>
      <c r="B48" s="6">
        <v>243000.0</v>
      </c>
      <c r="C48" s="6">
        <v>232000.0</v>
      </c>
      <c r="D48" s="6">
        <v>254000.0</v>
      </c>
      <c r="E48" s="6">
        <v>254000.0</v>
      </c>
      <c r="F48" s="6">
        <v>259000.0</v>
      </c>
      <c r="G48" s="6">
        <v>256000.0</v>
      </c>
      <c r="H48" s="6">
        <v>152000.0</v>
      </c>
      <c r="I48" s="6">
        <v>271000.0</v>
      </c>
      <c r="J48" s="13"/>
      <c r="K48" s="13"/>
      <c r="L48" s="6">
        <v>266000.0</v>
      </c>
      <c r="M48" s="13"/>
    </row>
    <row r="49">
      <c r="A49" s="4" t="s">
        <v>87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">
        <v>250000.0</v>
      </c>
      <c r="M49" s="6">
        <v>250000.0</v>
      </c>
    </row>
    <row r="50">
      <c r="A50" s="4" t="s">
        <v>88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6">
        <v>190000.0</v>
      </c>
      <c r="M50" s="6">
        <v>197000.0</v>
      </c>
    </row>
    <row r="51">
      <c r="A51" s="4" t="s">
        <v>89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6">
        <v>394000.0</v>
      </c>
    </row>
    <row r="52">
      <c r="A52" s="12" t="s">
        <v>90</v>
      </c>
      <c r="B52" s="13"/>
      <c r="C52" s="6">
        <v>319000.0</v>
      </c>
      <c r="D52" s="6">
        <v>294000.0</v>
      </c>
      <c r="E52" s="6">
        <v>329000.0</v>
      </c>
      <c r="F52" s="6">
        <v>333000.0</v>
      </c>
      <c r="G52" s="6">
        <v>329000.0</v>
      </c>
      <c r="H52" s="6">
        <v>345000.0</v>
      </c>
      <c r="I52" s="13"/>
      <c r="J52" s="7"/>
      <c r="K52" s="13"/>
      <c r="L52" s="13"/>
      <c r="M52" s="13"/>
    </row>
    <row r="53">
      <c r="A53" s="12" t="s">
        <v>91</v>
      </c>
      <c r="B53" s="6">
        <v>180000.0</v>
      </c>
      <c r="C53" s="6">
        <v>180000.0</v>
      </c>
      <c r="D53" s="6">
        <v>200000.0</v>
      </c>
      <c r="E53" s="13"/>
      <c r="F53" s="7"/>
      <c r="G53" s="6">
        <v>200000.0</v>
      </c>
      <c r="H53" s="6">
        <v>200000.0</v>
      </c>
      <c r="I53" s="13"/>
      <c r="J53" s="13"/>
      <c r="K53" s="13"/>
      <c r="L53" s="13"/>
      <c r="M53" s="13"/>
    </row>
    <row r="54">
      <c r="A54" s="12" t="s">
        <v>92</v>
      </c>
      <c r="B54" s="13"/>
      <c r="C54" s="13"/>
      <c r="D54" s="13"/>
      <c r="E54" s="13"/>
      <c r="F54" s="6">
        <v>125000.0</v>
      </c>
      <c r="G54" s="6">
        <v>250000.0</v>
      </c>
      <c r="H54" s="6">
        <v>250000.0</v>
      </c>
      <c r="I54" s="6">
        <v>250000.0</v>
      </c>
      <c r="J54" s="13"/>
      <c r="K54" s="13"/>
      <c r="L54" s="13"/>
      <c r="M54" s="13"/>
    </row>
    <row r="55">
      <c r="A55" s="12" t="s">
        <v>93</v>
      </c>
      <c r="B55" s="13"/>
      <c r="C55" s="6">
        <v>180000.0</v>
      </c>
      <c r="D55" s="7"/>
      <c r="E55" s="13"/>
      <c r="F55" s="13"/>
      <c r="G55" s="7"/>
      <c r="H55" s="13"/>
      <c r="I55" s="13"/>
      <c r="J55" s="7"/>
      <c r="K55" s="13"/>
      <c r="L55" s="13"/>
      <c r="M55" s="13"/>
    </row>
    <row r="56">
      <c r="A56" s="12" t="s">
        <v>37</v>
      </c>
      <c r="B56" s="6">
        <v>200000.0</v>
      </c>
      <c r="C56" s="13"/>
      <c r="D56" s="13"/>
      <c r="E56" s="13"/>
      <c r="F56" s="13"/>
      <c r="G56" s="7"/>
      <c r="H56" s="13"/>
      <c r="I56" s="13"/>
      <c r="J56" s="7"/>
      <c r="K56" s="13"/>
      <c r="L56" s="13"/>
      <c r="M56" s="13"/>
    </row>
    <row r="57">
      <c r="A57" s="12" t="s">
        <v>94</v>
      </c>
      <c r="B57" s="13"/>
      <c r="C57" s="6">
        <v>100000.0</v>
      </c>
      <c r="D57" s="7"/>
      <c r="E57" s="13"/>
      <c r="F57" s="13"/>
      <c r="G57" s="7"/>
      <c r="H57" s="13"/>
      <c r="I57" s="13"/>
      <c r="J57" s="7"/>
      <c r="K57" s="13"/>
      <c r="L57" s="13"/>
      <c r="M57" s="13"/>
      <c r="N57" s="17" t="s">
        <v>95</v>
      </c>
      <c r="O57" s="17" t="s">
        <v>96</v>
      </c>
    </row>
    <row r="58">
      <c r="A58" s="9" t="s">
        <v>16</v>
      </c>
      <c r="B58" s="10">
        <f t="shared" ref="B58:I58" si="1">SUM(B5:B57)</f>
        <v>2851000</v>
      </c>
      <c r="C58" s="10">
        <f t="shared" si="1"/>
        <v>3471000</v>
      </c>
      <c r="D58" s="10">
        <f t="shared" si="1"/>
        <v>4542000</v>
      </c>
      <c r="E58" s="10">
        <f t="shared" si="1"/>
        <v>5293000</v>
      </c>
      <c r="F58" s="10">
        <f t="shared" si="1"/>
        <v>5953000</v>
      </c>
      <c r="G58" s="10">
        <f t="shared" si="1"/>
        <v>6820000</v>
      </c>
      <c r="H58" s="10">
        <f t="shared" si="1"/>
        <v>7567000</v>
      </c>
      <c r="I58" s="10">
        <f t="shared" si="1"/>
        <v>8284000</v>
      </c>
      <c r="J58" s="10">
        <f t="shared" ref="J58:M58" si="2">SUM(J6:J57)</f>
        <v>8105000</v>
      </c>
      <c r="K58" s="10">
        <f t="shared" si="2"/>
        <v>9195000</v>
      </c>
      <c r="L58" s="10">
        <f t="shared" si="2"/>
        <v>9731000</v>
      </c>
      <c r="M58" s="10">
        <f t="shared" si="2"/>
        <v>8632000</v>
      </c>
      <c r="N58" s="11">
        <f>SUM(B58:M58)</f>
        <v>80444000</v>
      </c>
      <c r="O58" s="11">
        <f>N58/12</f>
        <v>6703666.667</v>
      </c>
    </row>
    <row r="59">
      <c r="B59" s="11"/>
      <c r="C59" s="11"/>
      <c r="D59" s="11"/>
      <c r="E59" s="11"/>
      <c r="F59" s="11"/>
    </row>
    <row r="60">
      <c r="A60" s="12" t="s">
        <v>17</v>
      </c>
      <c r="B60" s="7"/>
      <c r="C60" s="7"/>
      <c r="D60" s="7"/>
      <c r="E60" s="7"/>
      <c r="F60" s="7"/>
      <c r="G60" s="13"/>
      <c r="H60" s="7"/>
      <c r="I60" s="7"/>
      <c r="J60" s="7"/>
      <c r="K60" s="7"/>
      <c r="L60" s="7"/>
      <c r="M60" s="13"/>
    </row>
    <row r="61">
      <c r="A61" s="4"/>
      <c r="B61" s="6"/>
      <c r="C61" s="6"/>
      <c r="D61" s="6"/>
      <c r="E61" s="6"/>
      <c r="F61" s="6"/>
      <c r="G61" s="4"/>
      <c r="H61" s="4"/>
      <c r="I61" s="4"/>
      <c r="J61" s="14"/>
      <c r="K61" s="4"/>
      <c r="L61" s="6">
        <v>1084000.0</v>
      </c>
      <c r="M61" s="6">
        <v>606400.0</v>
      </c>
    </row>
    <row r="62">
      <c r="A62" s="4" t="s">
        <v>19</v>
      </c>
      <c r="B62" s="6"/>
      <c r="C62" s="6"/>
      <c r="D62" s="6">
        <v>88500.0</v>
      </c>
      <c r="E62" s="6">
        <v>91000.0</v>
      </c>
      <c r="F62" s="6">
        <v>90000.0</v>
      </c>
      <c r="G62" s="6">
        <v>90000.0</v>
      </c>
      <c r="H62" s="6">
        <v>90000.0</v>
      </c>
      <c r="I62" s="6">
        <v>90000.0</v>
      </c>
      <c r="J62" s="6">
        <v>90000.0</v>
      </c>
      <c r="K62" s="6">
        <v>90000.0</v>
      </c>
      <c r="L62" s="6">
        <v>90000.0</v>
      </c>
      <c r="M62" s="6">
        <v>90000.0</v>
      </c>
    </row>
    <row r="63">
      <c r="A63" s="4" t="s">
        <v>97</v>
      </c>
      <c r="B63" s="6"/>
      <c r="C63" s="6">
        <v>240000.0</v>
      </c>
      <c r="D63" s="6">
        <v>340000.0</v>
      </c>
      <c r="E63" s="6">
        <v>408000.0</v>
      </c>
      <c r="F63" s="6">
        <v>400000.0</v>
      </c>
      <c r="G63" s="6">
        <v>400000.0</v>
      </c>
      <c r="H63" s="6">
        <v>700000.0</v>
      </c>
      <c r="I63" s="6">
        <v>700000.0</v>
      </c>
      <c r="J63" s="6">
        <v>700000.0</v>
      </c>
      <c r="K63" s="6">
        <v>700000.0</v>
      </c>
      <c r="L63" s="6">
        <v>700000.0</v>
      </c>
      <c r="M63" s="6">
        <v>280000.0</v>
      </c>
    </row>
    <row r="64">
      <c r="A64" s="12" t="s">
        <v>21</v>
      </c>
      <c r="B64" s="7">
        <f>B62+B63</f>
        <v>0</v>
      </c>
      <c r="C64" s="7">
        <f t="shared" ref="C64:D64" si="3">C61+C62+C63</f>
        <v>240000</v>
      </c>
      <c r="D64" s="7">
        <f t="shared" si="3"/>
        <v>428500</v>
      </c>
      <c r="E64" s="7">
        <f t="shared" ref="E64:K64" si="4">E62+E63</f>
        <v>499000</v>
      </c>
      <c r="F64" s="7">
        <f t="shared" si="4"/>
        <v>490000</v>
      </c>
      <c r="G64" s="7">
        <f t="shared" si="4"/>
        <v>490000</v>
      </c>
      <c r="H64" s="7">
        <f t="shared" si="4"/>
        <v>790000</v>
      </c>
      <c r="I64" s="7">
        <f t="shared" si="4"/>
        <v>790000</v>
      </c>
      <c r="J64" s="7">
        <f t="shared" si="4"/>
        <v>790000</v>
      </c>
      <c r="K64" s="7">
        <f t="shared" si="4"/>
        <v>790000</v>
      </c>
      <c r="L64" s="7">
        <f t="shared" ref="L64:M64" si="5">L61+L62+L63</f>
        <v>1874000</v>
      </c>
      <c r="M64" s="7">
        <f t="shared" si="5"/>
        <v>976400</v>
      </c>
      <c r="N64" s="11">
        <f>SUM(B64:M64)</f>
        <v>8157900</v>
      </c>
    </row>
    <row r="65">
      <c r="B65" s="11"/>
      <c r="C65" s="11"/>
      <c r="D65" s="11"/>
      <c r="E65" s="11"/>
      <c r="F65" s="11"/>
    </row>
    <row r="66">
      <c r="A66" s="15" t="s">
        <v>22</v>
      </c>
      <c r="B66" s="16">
        <f t="shared" ref="B66:M66" si="6">B58-B64</f>
        <v>2851000</v>
      </c>
      <c r="C66" s="16">
        <f t="shared" si="6"/>
        <v>3231000</v>
      </c>
      <c r="D66" s="16">
        <f t="shared" si="6"/>
        <v>4113500</v>
      </c>
      <c r="E66" s="16">
        <f t="shared" si="6"/>
        <v>4794000</v>
      </c>
      <c r="F66" s="16">
        <f t="shared" si="6"/>
        <v>5463000</v>
      </c>
      <c r="G66" s="16">
        <f t="shared" si="6"/>
        <v>6330000</v>
      </c>
      <c r="H66" s="16">
        <f t="shared" si="6"/>
        <v>6777000</v>
      </c>
      <c r="I66" s="16">
        <f t="shared" si="6"/>
        <v>7494000</v>
      </c>
      <c r="J66" s="16">
        <f t="shared" si="6"/>
        <v>7315000</v>
      </c>
      <c r="K66" s="16">
        <f t="shared" si="6"/>
        <v>8405000</v>
      </c>
      <c r="L66" s="16">
        <f t="shared" si="6"/>
        <v>7857000</v>
      </c>
      <c r="M66" s="16">
        <f t="shared" si="6"/>
        <v>7655600</v>
      </c>
      <c r="N66" s="11">
        <f>SUM(B66:M66)</f>
        <v>72286100</v>
      </c>
    </row>
    <row r="68">
      <c r="A68" s="17" t="s">
        <v>98</v>
      </c>
      <c r="D68" s="11">
        <f>SUM(D5:D24)*30%</f>
        <v>511500</v>
      </c>
      <c r="E68" s="11">
        <f t="shared" ref="E68:G68" si="7">SUM(E5:E23)*30%</f>
        <v>670500</v>
      </c>
      <c r="F68" s="11">
        <f t="shared" si="7"/>
        <v>847500</v>
      </c>
      <c r="G68" s="11">
        <f t="shared" si="7"/>
        <v>841800</v>
      </c>
      <c r="H68" s="11">
        <f>SUM(H5:H24)*30%</f>
        <v>1078500</v>
      </c>
      <c r="I68" s="11">
        <f>SUM(I5:I24)*40%</f>
        <v>1620000</v>
      </c>
      <c r="J68" s="11">
        <f t="shared" ref="J68:L68" si="8">SUM(J6:J25)*40%</f>
        <v>1628000</v>
      </c>
      <c r="K68" s="11">
        <f t="shared" si="8"/>
        <v>1602400</v>
      </c>
      <c r="L68" s="11">
        <f t="shared" si="8"/>
        <v>1544000</v>
      </c>
      <c r="M68" s="11">
        <f>SUM(M5:M25)*40%</f>
        <v>1520000</v>
      </c>
    </row>
    <row r="69">
      <c r="A69" s="17" t="s">
        <v>99</v>
      </c>
      <c r="D69" s="19">
        <v>200000.0</v>
      </c>
      <c r="E69" s="19">
        <v>150000.0</v>
      </c>
      <c r="F69" s="19">
        <v>100000.0</v>
      </c>
      <c r="G69" s="19">
        <v>150000.0</v>
      </c>
      <c r="H69" s="19">
        <v>100000.0</v>
      </c>
      <c r="I69" s="19">
        <v>100000.0</v>
      </c>
      <c r="J69" s="19">
        <v>200000.0</v>
      </c>
      <c r="K69" s="19">
        <v>250000.0</v>
      </c>
      <c r="L69" s="19">
        <v>300000.0</v>
      </c>
      <c r="M69" s="19">
        <v>200000.0</v>
      </c>
    </row>
    <row r="70">
      <c r="A70" s="17" t="s">
        <v>25</v>
      </c>
      <c r="D70" s="11">
        <f t="shared" ref="D70:K70" si="9">D64/2</f>
        <v>214250</v>
      </c>
      <c r="E70" s="11">
        <f t="shared" si="9"/>
        <v>249500</v>
      </c>
      <c r="F70" s="11">
        <f t="shared" si="9"/>
        <v>245000</v>
      </c>
      <c r="G70" s="11">
        <f t="shared" si="9"/>
        <v>245000</v>
      </c>
      <c r="H70" s="11">
        <f t="shared" si="9"/>
        <v>395000</v>
      </c>
      <c r="I70" s="11">
        <f t="shared" si="9"/>
        <v>395000</v>
      </c>
      <c r="J70" s="11">
        <f t="shared" si="9"/>
        <v>395000</v>
      </c>
      <c r="K70" s="11">
        <f t="shared" si="9"/>
        <v>395000</v>
      </c>
      <c r="L70" s="11">
        <f t="shared" ref="L70:M70" si="10">L64*40%</f>
        <v>749600</v>
      </c>
      <c r="M70" s="11">
        <f t="shared" si="10"/>
        <v>390560</v>
      </c>
    </row>
    <row r="71">
      <c r="A71" s="17" t="s">
        <v>100</v>
      </c>
      <c r="D71" s="20">
        <f t="shared" ref="D71:M71" si="11">D68+D69-D70</f>
        <v>497250</v>
      </c>
      <c r="E71" s="20">
        <f t="shared" si="11"/>
        <v>571000</v>
      </c>
      <c r="F71" s="20">
        <f t="shared" si="11"/>
        <v>702500</v>
      </c>
      <c r="G71" s="20">
        <f t="shared" si="11"/>
        <v>746800</v>
      </c>
      <c r="H71" s="20">
        <f t="shared" si="11"/>
        <v>783500</v>
      </c>
      <c r="I71" s="20">
        <f t="shared" si="11"/>
        <v>1325000</v>
      </c>
      <c r="J71" s="20">
        <f t="shared" si="11"/>
        <v>1433000</v>
      </c>
      <c r="K71" s="20">
        <f t="shared" si="11"/>
        <v>1457400</v>
      </c>
      <c r="L71" s="20">
        <f t="shared" si="11"/>
        <v>1094400</v>
      </c>
      <c r="M71" s="20">
        <f t="shared" si="11"/>
        <v>1329440</v>
      </c>
      <c r="N71" s="19">
        <f>SUM(D71:M71)</f>
        <v>9940290</v>
      </c>
    </row>
    <row r="73">
      <c r="D73" s="43">
        <f t="shared" ref="D73:M73" si="12">D66-D71</f>
        <v>3616250</v>
      </c>
      <c r="E73" s="43">
        <f t="shared" si="12"/>
        <v>4223000</v>
      </c>
      <c r="F73" s="43">
        <f t="shared" si="12"/>
        <v>4760500</v>
      </c>
      <c r="G73" s="43">
        <f t="shared" si="12"/>
        <v>5583200</v>
      </c>
      <c r="H73" s="43">
        <f t="shared" si="12"/>
        <v>5993500</v>
      </c>
      <c r="I73" s="43">
        <f t="shared" si="12"/>
        <v>6169000</v>
      </c>
      <c r="J73" s="43">
        <f t="shared" si="12"/>
        <v>5882000</v>
      </c>
      <c r="K73" s="43">
        <f t="shared" si="12"/>
        <v>6947600</v>
      </c>
      <c r="L73" s="43">
        <f t="shared" si="12"/>
        <v>6762600</v>
      </c>
      <c r="M73" s="43">
        <f t="shared" si="12"/>
        <v>6326160</v>
      </c>
      <c r="N73" s="11">
        <f>SUM(D73:M73)</f>
        <v>56263810</v>
      </c>
    </row>
    <row r="76">
      <c r="I76" s="17" t="s">
        <v>101</v>
      </c>
      <c r="J76" s="11">
        <f>N58</f>
        <v>80444000</v>
      </c>
      <c r="L76" s="44"/>
      <c r="M76" s="19"/>
    </row>
    <row r="77">
      <c r="I77" s="17" t="s">
        <v>25</v>
      </c>
      <c r="J77" s="45">
        <f>N64</f>
        <v>8157900</v>
      </c>
      <c r="K77" s="18">
        <f>J77/J76</f>
        <v>0.1014109194</v>
      </c>
      <c r="L77" s="44"/>
      <c r="M77" s="19"/>
    </row>
    <row r="78">
      <c r="I78" s="17" t="s">
        <v>102</v>
      </c>
      <c r="J78" s="45">
        <f>J76-J77</f>
        <v>72286100</v>
      </c>
      <c r="M78" s="19"/>
    </row>
    <row r="79">
      <c r="J79" s="44"/>
      <c r="M79" s="11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 ht="18.75" customHeight="1">
      <c r="A86" s="17"/>
      <c r="B86" s="17"/>
      <c r="D86" s="46"/>
    </row>
    <row r="87" ht="18.75" customHeight="1">
      <c r="A87" s="17"/>
      <c r="B87" s="17"/>
      <c r="D87" s="46"/>
    </row>
    <row r="88" ht="18.75" customHeight="1">
      <c r="A88" s="17"/>
      <c r="B88" s="17"/>
      <c r="D88" s="46"/>
    </row>
    <row r="89">
      <c r="A89" s="17"/>
      <c r="B89" s="17"/>
      <c r="D89" s="47"/>
    </row>
    <row r="90">
      <c r="A90" s="17"/>
      <c r="B90" s="17"/>
      <c r="D90" s="47"/>
    </row>
    <row r="91">
      <c r="A91" s="17"/>
      <c r="B91" s="17"/>
      <c r="D91" s="47"/>
    </row>
    <row r="92" ht="17.25" customHeight="1">
      <c r="A92" s="17"/>
      <c r="B92" s="17"/>
      <c r="D92" s="46"/>
    </row>
    <row r="93" ht="21.0" customHeight="1">
      <c r="A93" s="17"/>
      <c r="B93" s="17"/>
      <c r="D93" s="46"/>
    </row>
    <row r="94" ht="21.0" customHeight="1">
      <c r="A94" s="17"/>
      <c r="B94" s="17"/>
      <c r="D94" s="46"/>
    </row>
    <row r="95">
      <c r="A95" s="17"/>
      <c r="B95" s="17"/>
      <c r="D95" s="47"/>
    </row>
    <row r="96" ht="17.25" customHeight="1">
      <c r="A96" s="17"/>
      <c r="B96" s="17"/>
      <c r="D96" s="46"/>
    </row>
    <row r="97" ht="15.0" customHeight="1">
      <c r="A97" s="17"/>
      <c r="B97" s="17"/>
      <c r="D97" s="47"/>
    </row>
    <row r="98">
      <c r="A98" s="17"/>
      <c r="B98" s="17"/>
      <c r="D98" s="47"/>
    </row>
    <row r="99" ht="23.25" customHeight="1">
      <c r="A99" s="17"/>
      <c r="B99" s="17"/>
      <c r="D99" s="46"/>
    </row>
    <row r="100">
      <c r="A100" s="17"/>
      <c r="B100" s="17"/>
      <c r="D100" s="47"/>
    </row>
    <row r="101" ht="20.25" customHeight="1">
      <c r="A101" s="48"/>
      <c r="B101" s="17"/>
      <c r="D101" s="46"/>
    </row>
    <row r="102">
      <c r="A102" s="48"/>
      <c r="B102" s="17"/>
      <c r="D102" s="47"/>
    </row>
    <row r="103" ht="18.75" customHeight="1">
      <c r="A103" s="48"/>
      <c r="B103" s="17"/>
      <c r="D103" s="46"/>
    </row>
    <row r="104">
      <c r="A104" s="17"/>
      <c r="B104" s="17"/>
      <c r="D104" s="47"/>
    </row>
    <row r="105">
      <c r="A105" s="17"/>
      <c r="B105" s="17"/>
      <c r="D105" s="47"/>
    </row>
    <row r="106" ht="16.5" customHeight="1">
      <c r="A106" s="17"/>
      <c r="B106" s="17"/>
      <c r="D106" s="46"/>
    </row>
    <row r="107">
      <c r="A107" s="17"/>
      <c r="B107" s="17"/>
      <c r="D107" s="47"/>
    </row>
    <row r="108" ht="15.0" customHeight="1">
      <c r="A108" s="17"/>
      <c r="B108" s="17"/>
      <c r="D108" s="46"/>
    </row>
    <row r="109">
      <c r="A109" s="17"/>
      <c r="B109" s="17"/>
      <c r="D109" s="47"/>
    </row>
    <row r="110" ht="16.5" customHeight="1">
      <c r="A110" s="17"/>
      <c r="B110" s="17"/>
      <c r="D110" s="46"/>
    </row>
    <row r="111" ht="16.5" customHeight="1">
      <c r="A111" s="17"/>
      <c r="B111" s="17"/>
      <c r="D111" s="46"/>
    </row>
    <row r="112">
      <c r="A112" s="17"/>
      <c r="B112" s="17"/>
      <c r="D112" s="47"/>
    </row>
    <row r="113" ht="17.25" customHeight="1">
      <c r="A113" s="17"/>
      <c r="B113" s="17"/>
      <c r="D113" s="46"/>
    </row>
    <row r="114">
      <c r="A114" s="17"/>
      <c r="B114" s="17"/>
      <c r="D114" s="47"/>
    </row>
    <row r="115" ht="20.25" customHeight="1">
      <c r="A115" s="17"/>
      <c r="B115" s="17"/>
      <c r="D115" s="46"/>
    </row>
    <row r="116">
      <c r="A116" s="17"/>
      <c r="B116" s="17"/>
    </row>
    <row r="117">
      <c r="A117" s="49"/>
      <c r="B117" s="17"/>
    </row>
    <row r="118">
      <c r="A118" s="50"/>
      <c r="B118" s="17"/>
    </row>
    <row r="119">
      <c r="A119" s="50"/>
      <c r="B119" s="17"/>
    </row>
    <row r="120">
      <c r="A120" s="49"/>
      <c r="B120" s="17"/>
    </row>
    <row r="121">
      <c r="A121" s="49"/>
      <c r="B121" s="17"/>
    </row>
    <row r="122">
      <c r="A122" s="49"/>
      <c r="B122" s="17"/>
    </row>
    <row r="123">
      <c r="A123" s="49"/>
      <c r="B123" s="17"/>
    </row>
    <row r="124">
      <c r="A124" s="49"/>
      <c r="B124" s="17"/>
    </row>
    <row r="125">
      <c r="A125" s="49"/>
      <c r="B125" s="17"/>
    </row>
    <row r="126">
      <c r="A126" s="49"/>
      <c r="B126" s="17"/>
    </row>
    <row r="127">
      <c r="A127" s="49"/>
      <c r="B127" s="17"/>
    </row>
    <row r="128">
      <c r="A128" s="49"/>
      <c r="B128" s="17"/>
    </row>
    <row r="129">
      <c r="A129" s="49"/>
      <c r="B129" s="17"/>
    </row>
    <row r="130">
      <c r="A130" s="49"/>
      <c r="B130" s="17"/>
    </row>
    <row r="131">
      <c r="A131" s="49"/>
      <c r="B131" s="17"/>
    </row>
    <row r="132">
      <c r="A132" s="49"/>
      <c r="B132" s="17"/>
    </row>
    <row r="133">
      <c r="A133" s="49"/>
      <c r="B133" s="17"/>
    </row>
    <row r="134">
      <c r="A134" s="49"/>
      <c r="B134" s="17"/>
    </row>
    <row r="135">
      <c r="A135" s="49"/>
      <c r="B135" s="17"/>
    </row>
    <row r="136">
      <c r="A136" s="49"/>
      <c r="B136" s="17"/>
    </row>
    <row r="137">
      <c r="A137" s="49"/>
      <c r="B137" s="17"/>
    </row>
    <row r="138">
      <c r="A138" s="49"/>
      <c r="B138" s="17"/>
    </row>
    <row r="139">
      <c r="A139" s="49"/>
      <c r="B139" s="17"/>
    </row>
    <row r="140">
      <c r="A140" s="49"/>
      <c r="B140" s="17"/>
    </row>
    <row r="141">
      <c r="A141" s="49"/>
      <c r="B141" s="17"/>
    </row>
    <row r="142">
      <c r="A142" s="49"/>
      <c r="B142" s="17"/>
    </row>
    <row r="143">
      <c r="A143" s="49"/>
      <c r="B143" s="17"/>
    </row>
    <row r="144">
      <c r="A144" s="49"/>
      <c r="B144" s="17"/>
    </row>
    <row r="145">
      <c r="A145" s="49"/>
      <c r="B145" s="17"/>
    </row>
    <row r="146">
      <c r="A146" s="49"/>
      <c r="B146" s="17"/>
    </row>
    <row r="147">
      <c r="A147" s="49"/>
      <c r="B147" s="17"/>
    </row>
    <row r="148">
      <c r="A148" s="49"/>
      <c r="B148" s="17"/>
    </row>
    <row r="149">
      <c r="A149" s="49"/>
      <c r="B149" s="17"/>
    </row>
    <row r="150">
      <c r="A150" s="49"/>
      <c r="B150" s="17"/>
    </row>
    <row r="151">
      <c r="A151" s="49"/>
      <c r="B151" s="17"/>
    </row>
    <row r="152">
      <c r="A152" s="49"/>
      <c r="B152" s="17"/>
    </row>
    <row r="153">
      <c r="A153" s="49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62">
      <c r="E162" s="19"/>
    </row>
    <row r="165">
      <c r="A165" s="17"/>
      <c r="B165" s="17"/>
      <c r="C165" s="19"/>
    </row>
    <row r="166">
      <c r="A166" s="17"/>
      <c r="B166" s="17"/>
      <c r="C166" s="19"/>
    </row>
    <row r="168">
      <c r="D168" s="19"/>
      <c r="E168" s="17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1.63"/>
    <col customWidth="1" min="3" max="3" width="9.88"/>
    <col customWidth="1" min="4" max="4" width="11.25"/>
    <col customWidth="1" min="5" max="5" width="10.13"/>
    <col customWidth="1" min="6" max="6" width="10.5"/>
    <col customWidth="1" min="7" max="7" width="10.75"/>
    <col customWidth="1" min="8" max="8" width="10.63"/>
    <col customWidth="1" min="9" max="10" width="11.5"/>
    <col customWidth="1" min="11" max="11" width="10.13"/>
    <col customWidth="1" min="12" max="12" width="10.88"/>
    <col customWidth="1" min="13" max="13" width="10.75"/>
  </cols>
  <sheetData>
    <row r="1">
      <c r="A1" s="32"/>
      <c r="B1" s="32"/>
      <c r="C1" s="33"/>
      <c r="D1" s="33"/>
      <c r="E1" s="32"/>
      <c r="F1" s="32"/>
      <c r="G1" s="32"/>
      <c r="H1" s="32"/>
      <c r="I1" s="32"/>
      <c r="J1" s="32"/>
      <c r="K1" s="32"/>
      <c r="L1" s="32"/>
      <c r="M1" s="32"/>
    </row>
    <row r="2">
      <c r="A2" s="32"/>
      <c r="B2" s="32"/>
      <c r="C2" s="32"/>
      <c r="D2" s="34" t="s">
        <v>103</v>
      </c>
      <c r="E2" s="32"/>
      <c r="F2" s="32"/>
      <c r="G2" s="32"/>
      <c r="H2" s="32"/>
      <c r="I2" s="32"/>
      <c r="J2" s="32"/>
      <c r="K2" s="32"/>
      <c r="L2" s="32"/>
      <c r="M2" s="32"/>
    </row>
    <row r="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>
      <c r="A4" s="3" t="s">
        <v>1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6</v>
      </c>
    </row>
    <row r="5">
      <c r="A5" s="12" t="s">
        <v>64</v>
      </c>
      <c r="B5" s="35">
        <v>280000.0</v>
      </c>
      <c r="C5" s="35">
        <v>330000.0</v>
      </c>
      <c r="D5" s="35">
        <v>330000.0</v>
      </c>
      <c r="E5" s="35">
        <v>330000.0</v>
      </c>
      <c r="F5" s="35">
        <v>330000.0</v>
      </c>
      <c r="G5" s="35">
        <v>330000.0</v>
      </c>
      <c r="H5" s="13"/>
      <c r="I5" s="13"/>
      <c r="J5" s="13"/>
      <c r="K5" s="13"/>
      <c r="L5" s="13"/>
      <c r="M5" s="13"/>
    </row>
    <row r="6">
      <c r="A6" s="15" t="s">
        <v>104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35">
        <v>116000.0</v>
      </c>
      <c r="M6" s="35">
        <v>350000.0</v>
      </c>
    </row>
    <row r="7">
      <c r="A7" s="12" t="s">
        <v>105</v>
      </c>
      <c r="B7" s="35">
        <v>140000.0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>
      <c r="A8" s="12" t="s">
        <v>106</v>
      </c>
      <c r="B8" s="13"/>
      <c r="C8" s="13"/>
      <c r="D8" s="13"/>
      <c r="E8" s="13"/>
      <c r="F8" s="13"/>
      <c r="G8" s="13"/>
      <c r="H8" s="35">
        <v>330000.0</v>
      </c>
      <c r="I8" s="35">
        <v>330000.0</v>
      </c>
      <c r="J8" s="35">
        <v>330000.0</v>
      </c>
      <c r="K8" s="35">
        <v>330000.0</v>
      </c>
      <c r="L8" s="35">
        <v>330000.0</v>
      </c>
      <c r="M8" s="13"/>
    </row>
    <row r="9">
      <c r="A9" s="12" t="s">
        <v>63</v>
      </c>
      <c r="B9" s="35">
        <v>280000.0</v>
      </c>
      <c r="C9" s="35">
        <v>165000.0</v>
      </c>
      <c r="D9" s="13"/>
      <c r="E9" s="35">
        <v>330000.0</v>
      </c>
      <c r="F9" s="35">
        <v>330000.0</v>
      </c>
      <c r="G9" s="35">
        <v>330000.0</v>
      </c>
      <c r="H9" s="35">
        <v>330000.0</v>
      </c>
      <c r="I9" s="35">
        <v>330000.0</v>
      </c>
      <c r="J9" s="13"/>
      <c r="K9" s="13"/>
      <c r="L9" s="13"/>
      <c r="M9" s="13"/>
    </row>
    <row r="10">
      <c r="A10" s="15" t="s">
        <v>84</v>
      </c>
      <c r="B10" s="13"/>
      <c r="C10" s="13"/>
      <c r="D10" s="13"/>
      <c r="E10" s="13"/>
      <c r="F10" s="35">
        <v>330000.0</v>
      </c>
      <c r="G10" s="35">
        <v>330000.0</v>
      </c>
      <c r="H10" s="35">
        <v>330000.0</v>
      </c>
      <c r="I10" s="35">
        <v>330000.0</v>
      </c>
      <c r="J10" s="35">
        <v>330000.0</v>
      </c>
      <c r="K10" s="35">
        <v>330000.0</v>
      </c>
      <c r="L10" s="35">
        <v>330000.0</v>
      </c>
      <c r="M10" s="35">
        <v>330000.0</v>
      </c>
    </row>
    <row r="11">
      <c r="A11" s="15" t="s">
        <v>107</v>
      </c>
      <c r="B11" s="13"/>
      <c r="C11" s="13"/>
      <c r="D11" s="13"/>
      <c r="E11" s="13"/>
      <c r="F11" s="13"/>
      <c r="G11" s="13"/>
      <c r="H11" s="13"/>
      <c r="I11" s="35">
        <v>250000.0</v>
      </c>
      <c r="J11" s="35">
        <v>250000.0</v>
      </c>
      <c r="K11" s="35">
        <v>250000.0</v>
      </c>
      <c r="L11" s="35">
        <v>250000.0</v>
      </c>
      <c r="M11" s="35">
        <v>125000.0</v>
      </c>
    </row>
    <row r="12">
      <c r="A12" s="15" t="s">
        <v>65</v>
      </c>
      <c r="B12" s="35">
        <v>280000.0</v>
      </c>
      <c r="C12" s="35">
        <v>330000.0</v>
      </c>
      <c r="D12" s="35">
        <v>330000.0</v>
      </c>
      <c r="E12" s="35">
        <v>330000.0</v>
      </c>
      <c r="F12" s="35">
        <v>330000.0</v>
      </c>
      <c r="G12" s="35">
        <v>330000.0</v>
      </c>
      <c r="H12" s="35">
        <v>330000.0</v>
      </c>
      <c r="I12" s="35">
        <v>330000.0</v>
      </c>
      <c r="J12" s="35">
        <v>330000.0</v>
      </c>
      <c r="K12" s="35">
        <v>330000.0</v>
      </c>
      <c r="L12" s="35">
        <v>330000.0</v>
      </c>
      <c r="M12" s="35">
        <v>330000.0</v>
      </c>
    </row>
    <row r="13">
      <c r="A13" s="15" t="s">
        <v>50</v>
      </c>
      <c r="B13" s="35">
        <v>186600.0</v>
      </c>
      <c r="C13" s="37" t="s">
        <v>108</v>
      </c>
      <c r="D13" s="37" t="s">
        <v>109</v>
      </c>
      <c r="E13" s="51" t="s">
        <v>110</v>
      </c>
      <c r="F13" s="52" t="s">
        <v>111</v>
      </c>
      <c r="G13" s="35">
        <v>330000.0</v>
      </c>
      <c r="H13" s="35">
        <v>330000.0</v>
      </c>
      <c r="I13" s="35">
        <v>330000.0</v>
      </c>
      <c r="J13" s="35">
        <v>330000.0</v>
      </c>
      <c r="K13" s="35">
        <v>330000.0</v>
      </c>
      <c r="L13" s="35">
        <v>330000.0</v>
      </c>
      <c r="M13" s="35">
        <v>330000.0</v>
      </c>
    </row>
    <row r="14">
      <c r="A14" s="15" t="s">
        <v>56</v>
      </c>
      <c r="B14" s="35">
        <v>280000.0</v>
      </c>
      <c r="C14" s="35">
        <v>330000.0</v>
      </c>
      <c r="D14" s="35">
        <v>330000.0</v>
      </c>
      <c r="E14" s="35">
        <v>330000.0</v>
      </c>
      <c r="F14" s="35">
        <v>330000.0</v>
      </c>
      <c r="G14" s="35">
        <v>330000.0</v>
      </c>
      <c r="H14" s="35">
        <v>330000.0</v>
      </c>
      <c r="I14" s="35">
        <v>330000.0</v>
      </c>
      <c r="J14" s="35">
        <v>330000.0</v>
      </c>
      <c r="K14" s="35">
        <v>330000.0</v>
      </c>
      <c r="L14" s="35">
        <v>330000.0</v>
      </c>
      <c r="M14" s="35">
        <v>330000.0</v>
      </c>
    </row>
    <row r="15">
      <c r="A15" s="15" t="s">
        <v>60</v>
      </c>
      <c r="B15" s="35">
        <v>280000.0</v>
      </c>
      <c r="C15" s="35">
        <v>330000.0</v>
      </c>
      <c r="D15" s="13"/>
      <c r="E15" s="13"/>
      <c r="F15" s="35">
        <v>330000.0</v>
      </c>
      <c r="G15" s="35">
        <v>330000.0</v>
      </c>
      <c r="H15" s="35">
        <v>330000.0</v>
      </c>
      <c r="I15" s="35">
        <v>330000.0</v>
      </c>
      <c r="J15" s="35">
        <v>330000.0</v>
      </c>
      <c r="K15" s="35">
        <v>330000.0</v>
      </c>
      <c r="L15" s="35">
        <v>330000.0</v>
      </c>
      <c r="M15" s="35">
        <v>330000.0</v>
      </c>
    </row>
    <row r="16">
      <c r="A16" s="12" t="s">
        <v>11</v>
      </c>
      <c r="B16" s="35">
        <v>250000.0</v>
      </c>
      <c r="C16" s="35">
        <v>330000.0</v>
      </c>
      <c r="D16" s="35">
        <v>330000.0</v>
      </c>
      <c r="E16" s="13"/>
      <c r="F16" s="13"/>
      <c r="G16" s="13"/>
      <c r="H16" s="13"/>
      <c r="I16" s="13"/>
      <c r="J16" s="13"/>
      <c r="K16" s="13"/>
      <c r="L16" s="13"/>
      <c r="M16" s="13"/>
    </row>
    <row r="17">
      <c r="A17" s="15" t="s">
        <v>13</v>
      </c>
      <c r="B17" s="35">
        <v>250000.0</v>
      </c>
      <c r="C17" s="35">
        <v>330000.0</v>
      </c>
      <c r="D17" s="35">
        <v>330000.0</v>
      </c>
      <c r="E17" s="35">
        <v>330000.0</v>
      </c>
      <c r="F17" s="35">
        <v>330000.0</v>
      </c>
      <c r="G17" s="35">
        <v>330000.0</v>
      </c>
      <c r="H17" s="35">
        <v>330000.0</v>
      </c>
      <c r="I17" s="35">
        <v>330000.0</v>
      </c>
      <c r="J17" s="35">
        <v>330000.0</v>
      </c>
      <c r="K17" s="35">
        <v>330000.0</v>
      </c>
      <c r="L17" s="35">
        <v>330000.0</v>
      </c>
      <c r="M17" s="35">
        <v>330000.0</v>
      </c>
    </row>
    <row r="18">
      <c r="A18" s="15" t="s">
        <v>112</v>
      </c>
      <c r="B18" s="13"/>
      <c r="C18" s="13"/>
      <c r="D18" s="13"/>
      <c r="E18" s="35">
        <v>350000.0</v>
      </c>
      <c r="F18" s="35">
        <v>350000.0</v>
      </c>
      <c r="G18" s="35">
        <v>330000.0</v>
      </c>
      <c r="H18" s="35">
        <v>350000.0</v>
      </c>
      <c r="I18" s="35">
        <v>350000.0</v>
      </c>
      <c r="J18" s="35">
        <v>350000.0</v>
      </c>
      <c r="K18" s="35">
        <v>350000.0</v>
      </c>
      <c r="L18" s="35">
        <v>350000.0</v>
      </c>
      <c r="M18" s="35">
        <v>350000.0</v>
      </c>
    </row>
    <row r="19">
      <c r="A19" s="12" t="s">
        <v>113</v>
      </c>
      <c r="B19" s="13"/>
      <c r="C19" s="13"/>
      <c r="D19" s="13"/>
      <c r="E19" s="13"/>
      <c r="F19" s="13"/>
      <c r="G19" s="13"/>
      <c r="H19" s="35">
        <v>175000.0</v>
      </c>
      <c r="I19" s="13"/>
      <c r="J19" s="13"/>
      <c r="K19" s="13"/>
      <c r="L19" s="13"/>
      <c r="M19" s="13"/>
    </row>
    <row r="20">
      <c r="A20" s="15" t="s">
        <v>59</v>
      </c>
      <c r="B20" s="35">
        <v>280000.0</v>
      </c>
      <c r="C20" s="35">
        <v>330000.0</v>
      </c>
      <c r="D20" s="35">
        <v>330000.0</v>
      </c>
      <c r="E20" s="35">
        <v>330000.0</v>
      </c>
      <c r="F20" s="35">
        <v>330000.0</v>
      </c>
      <c r="G20" s="35">
        <v>350000.0</v>
      </c>
      <c r="H20" s="35">
        <v>330000.0</v>
      </c>
      <c r="I20" s="35">
        <v>330000.0</v>
      </c>
      <c r="J20" s="35">
        <v>330000.0</v>
      </c>
      <c r="K20" s="35">
        <v>330000.0</v>
      </c>
      <c r="L20" s="35">
        <v>330000.0</v>
      </c>
      <c r="M20" s="13"/>
    </row>
    <row r="21">
      <c r="A21" s="15" t="s">
        <v>69</v>
      </c>
      <c r="B21" s="35">
        <v>280000.0</v>
      </c>
      <c r="C21" s="35">
        <v>330000.0</v>
      </c>
      <c r="D21" s="35">
        <v>330000.0</v>
      </c>
      <c r="E21" s="35">
        <v>330000.0</v>
      </c>
      <c r="F21" s="35">
        <v>330000.0</v>
      </c>
      <c r="G21" s="35">
        <v>330000.0</v>
      </c>
      <c r="H21" s="35">
        <v>330000.0</v>
      </c>
      <c r="I21" s="35">
        <v>330000.0</v>
      </c>
      <c r="J21" s="35">
        <v>330000.0</v>
      </c>
      <c r="K21" s="35">
        <v>330000.0</v>
      </c>
      <c r="L21" s="35">
        <v>330000.0</v>
      </c>
      <c r="M21" s="35">
        <v>330000.0</v>
      </c>
    </row>
    <row r="22">
      <c r="A22" s="15" t="s">
        <v>51</v>
      </c>
      <c r="B22" s="35">
        <v>250000.0</v>
      </c>
      <c r="C22" s="35">
        <v>330000.0</v>
      </c>
      <c r="D22" s="35">
        <v>330000.0</v>
      </c>
      <c r="E22" s="35">
        <v>330000.0</v>
      </c>
      <c r="F22" s="35">
        <v>330000.0</v>
      </c>
      <c r="G22" s="35">
        <v>330000.0</v>
      </c>
      <c r="H22" s="35">
        <v>330000.0</v>
      </c>
      <c r="I22" s="35">
        <v>330000.0</v>
      </c>
      <c r="J22" s="35">
        <v>330000.0</v>
      </c>
      <c r="K22" s="35">
        <v>330000.0</v>
      </c>
      <c r="L22" s="35">
        <v>330000.0</v>
      </c>
      <c r="M22" s="35">
        <v>330000.0</v>
      </c>
    </row>
    <row r="23">
      <c r="A23" s="15" t="s">
        <v>114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35">
        <v>350000.0</v>
      </c>
      <c r="M23" s="35">
        <v>350000.0</v>
      </c>
    </row>
    <row r="24">
      <c r="A24" s="15" t="s">
        <v>115</v>
      </c>
      <c r="B24" s="13"/>
      <c r="C24" s="13"/>
      <c r="D24" s="13"/>
      <c r="E24" s="13"/>
      <c r="F24" s="13"/>
      <c r="G24" s="35">
        <v>350000.0</v>
      </c>
      <c r="H24" s="53" t="s">
        <v>116</v>
      </c>
      <c r="I24" s="35">
        <v>350000.0</v>
      </c>
      <c r="J24" s="35">
        <v>350000.0</v>
      </c>
      <c r="K24" s="35">
        <v>350000.0</v>
      </c>
      <c r="L24" s="35">
        <v>350000.0</v>
      </c>
      <c r="M24" s="35">
        <v>350000.0</v>
      </c>
    </row>
    <row r="25">
      <c r="A25" s="12" t="s">
        <v>58</v>
      </c>
      <c r="B25" s="35">
        <v>280000.0</v>
      </c>
      <c r="C25" s="35">
        <v>330000.0</v>
      </c>
      <c r="D25" s="35">
        <v>330000.0</v>
      </c>
      <c r="E25" s="35">
        <v>330000.0</v>
      </c>
      <c r="F25" s="35">
        <v>330000.0</v>
      </c>
      <c r="G25" s="35">
        <v>330000.0</v>
      </c>
      <c r="H25" s="35">
        <v>330000.0</v>
      </c>
      <c r="I25" s="35">
        <v>330000.0</v>
      </c>
      <c r="J25" s="35">
        <v>330000.0</v>
      </c>
      <c r="K25" s="35">
        <v>330000.0</v>
      </c>
      <c r="L25" s="35">
        <v>330000.0</v>
      </c>
      <c r="M25" s="13"/>
    </row>
    <row r="26">
      <c r="A26" s="15" t="s">
        <v>117</v>
      </c>
      <c r="B26" s="13"/>
      <c r="C26" s="35">
        <v>88000.0</v>
      </c>
      <c r="D26" s="35">
        <v>330000.0</v>
      </c>
      <c r="E26" s="35">
        <v>330000.0</v>
      </c>
      <c r="F26" s="35">
        <v>330000.0</v>
      </c>
      <c r="G26" s="35">
        <v>330000.0</v>
      </c>
      <c r="H26" s="35">
        <v>330000.0</v>
      </c>
      <c r="I26" s="35">
        <v>330000.0</v>
      </c>
      <c r="J26" s="35">
        <v>330000.0</v>
      </c>
      <c r="K26" s="35">
        <v>330000.0</v>
      </c>
      <c r="L26" s="35">
        <v>330000.0</v>
      </c>
      <c r="M26" s="35">
        <v>330000.0</v>
      </c>
    </row>
    <row r="27">
      <c r="A27" s="12" t="s">
        <v>118</v>
      </c>
      <c r="B27" s="13"/>
      <c r="C27" s="13"/>
      <c r="D27" s="13"/>
      <c r="E27" s="13"/>
      <c r="F27" s="35">
        <v>330000.0</v>
      </c>
      <c r="G27" s="35">
        <v>330000.0</v>
      </c>
      <c r="H27" s="35">
        <v>330000.0</v>
      </c>
      <c r="I27" s="35">
        <v>330000.0</v>
      </c>
      <c r="J27" s="13"/>
      <c r="K27" s="35">
        <v>330000.0</v>
      </c>
      <c r="L27" s="35">
        <v>330000.0</v>
      </c>
      <c r="M27" s="13"/>
    </row>
    <row r="28">
      <c r="A28" s="54" t="s">
        <v>119</v>
      </c>
      <c r="B28" s="13"/>
      <c r="C28" s="13"/>
      <c r="D28" s="13"/>
      <c r="E28" s="13"/>
      <c r="F28" s="13"/>
      <c r="G28" s="13"/>
      <c r="H28" s="55">
        <v>50000.0</v>
      </c>
      <c r="I28" s="55">
        <v>100000.0</v>
      </c>
      <c r="J28" s="55">
        <v>100000.0</v>
      </c>
      <c r="K28" s="55">
        <v>100000.0</v>
      </c>
      <c r="L28" s="55">
        <v>100000.0</v>
      </c>
      <c r="M28" s="55">
        <v>100000.0</v>
      </c>
    </row>
    <row r="29">
      <c r="A29" s="12" t="s">
        <v>120</v>
      </c>
      <c r="B29" s="13"/>
      <c r="C29" s="13"/>
      <c r="D29" s="13"/>
      <c r="E29" s="13"/>
      <c r="F29" s="13"/>
      <c r="G29" s="13"/>
      <c r="H29" s="13"/>
      <c r="I29" s="13"/>
      <c r="J29" s="55">
        <v>100000.0</v>
      </c>
      <c r="K29" s="55">
        <v>100000.0</v>
      </c>
      <c r="L29" s="55">
        <v>100000.0</v>
      </c>
      <c r="M29" s="13"/>
    </row>
    <row r="30">
      <c r="A30" s="12" t="s">
        <v>121</v>
      </c>
      <c r="B30" s="13"/>
      <c r="C30" s="13"/>
      <c r="D30" s="55">
        <v>75000.0</v>
      </c>
      <c r="E30" s="55">
        <v>150000.0</v>
      </c>
      <c r="F30" s="55">
        <v>150000.0</v>
      </c>
      <c r="G30" s="55">
        <v>150000.0</v>
      </c>
      <c r="H30" s="13"/>
      <c r="I30" s="13"/>
      <c r="J30" s="13"/>
      <c r="K30" s="13"/>
      <c r="L30" s="13"/>
      <c r="M30" s="13"/>
    </row>
    <row r="31">
      <c r="A31" s="12" t="s">
        <v>122</v>
      </c>
      <c r="B31" s="13"/>
      <c r="C31" s="13"/>
      <c r="D31" s="55">
        <v>150000.0</v>
      </c>
      <c r="E31" s="55">
        <v>150000.0</v>
      </c>
      <c r="F31" s="55">
        <v>150000.0</v>
      </c>
      <c r="G31" s="55">
        <v>40000.0</v>
      </c>
      <c r="H31" s="13"/>
      <c r="I31" s="13"/>
      <c r="J31" s="13"/>
      <c r="K31" s="13"/>
      <c r="L31" s="13"/>
      <c r="M31" s="13"/>
    </row>
    <row r="32">
      <c r="A32" s="12" t="s">
        <v>107</v>
      </c>
      <c r="B32" s="13"/>
      <c r="C32" s="13"/>
      <c r="D32" s="13"/>
      <c r="E32" s="13"/>
      <c r="F32" s="13"/>
      <c r="G32" s="55">
        <v>125000.0</v>
      </c>
      <c r="H32" s="55">
        <v>250000.0</v>
      </c>
      <c r="I32" s="13"/>
      <c r="J32" s="13"/>
      <c r="K32" s="13"/>
      <c r="L32" s="13"/>
      <c r="M32" s="13"/>
    </row>
    <row r="33">
      <c r="A33" s="54" t="s">
        <v>123</v>
      </c>
      <c r="B33" s="13"/>
      <c r="C33" s="13"/>
      <c r="D33" s="13"/>
      <c r="E33" s="13"/>
      <c r="F33" s="55">
        <v>250000.0</v>
      </c>
      <c r="G33" s="55">
        <v>250000.0</v>
      </c>
      <c r="H33" s="55">
        <v>250000.0</v>
      </c>
      <c r="I33" s="55">
        <v>250000.0</v>
      </c>
      <c r="J33" s="55">
        <v>250000.0</v>
      </c>
      <c r="K33" s="55">
        <v>250000.0</v>
      </c>
      <c r="L33" s="55">
        <v>250000.0</v>
      </c>
      <c r="M33" s="55">
        <v>250000.0</v>
      </c>
    </row>
    <row r="34">
      <c r="A34" s="54" t="s">
        <v>11</v>
      </c>
      <c r="B34" s="13"/>
      <c r="C34" s="13"/>
      <c r="D34" s="13"/>
      <c r="E34" s="55">
        <v>150000.0</v>
      </c>
      <c r="F34" s="55">
        <v>150000.0</v>
      </c>
      <c r="G34" s="13"/>
      <c r="H34" s="13"/>
      <c r="I34" s="55">
        <v>150000.0</v>
      </c>
      <c r="J34" s="55">
        <v>150000.0</v>
      </c>
      <c r="K34" s="55">
        <v>150000.0</v>
      </c>
      <c r="L34" s="55">
        <v>150000.0</v>
      </c>
      <c r="M34" s="55">
        <v>150000.0</v>
      </c>
    </row>
    <row r="35">
      <c r="A35" s="54" t="s">
        <v>124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55">
        <v>300000.0</v>
      </c>
      <c r="M35" s="55">
        <v>150000.0</v>
      </c>
    </row>
    <row r="36">
      <c r="A36" s="54" t="s">
        <v>125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55">
        <v>250000.0</v>
      </c>
    </row>
    <row r="37">
      <c r="A37" s="12" t="s">
        <v>126</v>
      </c>
      <c r="B37" s="13"/>
      <c r="C37" s="13"/>
      <c r="D37" s="13"/>
      <c r="E37" s="13"/>
      <c r="F37" s="13"/>
      <c r="G37" s="55">
        <v>125000.0</v>
      </c>
      <c r="H37" s="56" t="s">
        <v>127</v>
      </c>
      <c r="I37" s="13"/>
      <c r="J37" s="13"/>
      <c r="K37" s="13"/>
      <c r="L37" s="13"/>
      <c r="M37" s="13"/>
    </row>
    <row r="38">
      <c r="A38" s="12" t="s">
        <v>128</v>
      </c>
      <c r="B38" s="13"/>
      <c r="C38" s="13"/>
      <c r="D38" s="13"/>
      <c r="E38" s="13"/>
      <c r="F38" s="13"/>
      <c r="G38" s="13"/>
      <c r="H38" s="13"/>
      <c r="I38" s="55">
        <v>150000.0</v>
      </c>
      <c r="J38" s="13"/>
      <c r="K38" s="13"/>
      <c r="L38" s="13"/>
      <c r="M38" s="13"/>
    </row>
    <row r="39">
      <c r="A39" s="54" t="s">
        <v>66</v>
      </c>
      <c r="B39" s="35">
        <v>250000.0</v>
      </c>
      <c r="C39" s="55">
        <v>250000.0</v>
      </c>
      <c r="D39" s="55">
        <v>250000.0</v>
      </c>
      <c r="E39" s="55">
        <v>250000.0</v>
      </c>
      <c r="F39" s="55">
        <v>250000.0</v>
      </c>
      <c r="G39" s="55">
        <v>250000.0</v>
      </c>
      <c r="H39" s="55">
        <v>250000.0</v>
      </c>
      <c r="I39" s="55">
        <v>250000.0</v>
      </c>
      <c r="J39" s="55">
        <v>250000.0</v>
      </c>
      <c r="K39" s="55">
        <v>250000.0</v>
      </c>
      <c r="L39" s="55">
        <v>250000.0</v>
      </c>
      <c r="M39" s="55">
        <v>250000.0</v>
      </c>
    </row>
    <row r="40">
      <c r="A40" s="12" t="s">
        <v>129</v>
      </c>
      <c r="B40" s="13"/>
      <c r="C40" s="13"/>
      <c r="D40" s="13"/>
      <c r="E40" s="13"/>
      <c r="F40" s="55">
        <v>150000.0</v>
      </c>
      <c r="G40" s="13"/>
      <c r="H40" s="13"/>
      <c r="I40" s="13"/>
      <c r="J40" s="13"/>
      <c r="K40" s="13"/>
      <c r="L40" s="13"/>
      <c r="M40" s="13"/>
    </row>
    <row r="41">
      <c r="A41" s="54" t="s">
        <v>130</v>
      </c>
      <c r="B41" s="13"/>
      <c r="C41" s="13"/>
      <c r="D41" s="13"/>
      <c r="E41" s="13"/>
      <c r="F41" s="13"/>
      <c r="G41" s="13"/>
      <c r="H41" s="55">
        <v>300000.0</v>
      </c>
      <c r="I41" s="55">
        <v>300000.0</v>
      </c>
      <c r="J41" s="55">
        <v>300000.0</v>
      </c>
      <c r="K41" s="55">
        <v>300000.0</v>
      </c>
      <c r="L41" s="55">
        <v>300000.0</v>
      </c>
      <c r="M41" s="55">
        <v>300000.0</v>
      </c>
    </row>
    <row r="42">
      <c r="A42" s="54" t="s">
        <v>131</v>
      </c>
      <c r="B42" s="13"/>
      <c r="C42" s="13"/>
      <c r="D42" s="13"/>
      <c r="E42" s="13"/>
      <c r="F42" s="55">
        <v>250000.0</v>
      </c>
      <c r="G42" s="55">
        <v>250000.0</v>
      </c>
      <c r="H42" s="55">
        <v>250000.0</v>
      </c>
      <c r="I42" s="55">
        <v>250000.0</v>
      </c>
      <c r="J42" s="55">
        <v>250000.0</v>
      </c>
      <c r="K42" s="55">
        <v>250000.0</v>
      </c>
      <c r="L42" s="55">
        <v>250000.0</v>
      </c>
      <c r="M42" s="55">
        <v>250000.0</v>
      </c>
    </row>
    <row r="43">
      <c r="A43" s="12" t="s">
        <v>39</v>
      </c>
      <c r="B43" s="6">
        <v>200000.0</v>
      </c>
      <c r="C43" s="55">
        <v>250000.0</v>
      </c>
      <c r="D43" s="55">
        <v>250000.0</v>
      </c>
      <c r="E43" s="55">
        <v>250000.0</v>
      </c>
      <c r="F43" s="55">
        <v>250000.0</v>
      </c>
      <c r="G43" s="55">
        <v>250000.0</v>
      </c>
      <c r="H43" s="55">
        <v>250000.0</v>
      </c>
      <c r="I43" s="13"/>
      <c r="J43" s="13"/>
      <c r="K43" s="13"/>
      <c r="L43" s="13"/>
      <c r="M43" s="13"/>
    </row>
    <row r="44">
      <c r="A44" s="12" t="s">
        <v>40</v>
      </c>
      <c r="B44" s="13"/>
      <c r="C44" s="13"/>
      <c r="D44" s="13"/>
      <c r="E44" s="13"/>
      <c r="F44" s="13"/>
      <c r="G44" s="13"/>
      <c r="H44" s="13"/>
      <c r="I44" s="37">
        <v>350000.0</v>
      </c>
      <c r="J44" s="37">
        <v>350000.0</v>
      </c>
      <c r="K44" s="13"/>
      <c r="L44" s="13"/>
      <c r="M44" s="13"/>
    </row>
    <row r="45">
      <c r="A45" s="12" t="s">
        <v>87</v>
      </c>
      <c r="B45" s="6">
        <v>250000.0</v>
      </c>
      <c r="C45" s="6">
        <v>300000.0</v>
      </c>
      <c r="D45" s="6">
        <v>300000.0</v>
      </c>
      <c r="E45" s="6">
        <v>300000.0</v>
      </c>
      <c r="F45" s="6">
        <v>300000.0</v>
      </c>
      <c r="G45" s="37">
        <v>350000.0</v>
      </c>
      <c r="H45" s="37">
        <v>350000.0</v>
      </c>
      <c r="I45" s="37">
        <v>350000.0</v>
      </c>
      <c r="J45" s="13"/>
      <c r="K45" s="13"/>
      <c r="L45" s="13"/>
      <c r="M45" s="13"/>
    </row>
    <row r="46">
      <c r="A46" s="12" t="s">
        <v>132</v>
      </c>
      <c r="B46" s="37">
        <v>404000.0</v>
      </c>
      <c r="C46" s="37">
        <v>355000.0</v>
      </c>
      <c r="D46" s="37">
        <v>343000.0</v>
      </c>
      <c r="E46" s="37">
        <v>337000.0</v>
      </c>
      <c r="F46" s="37">
        <v>366000.0</v>
      </c>
      <c r="G46" s="37">
        <v>338000.0</v>
      </c>
      <c r="H46" s="37">
        <v>390000.0</v>
      </c>
      <c r="I46" s="37">
        <v>375000.0</v>
      </c>
      <c r="J46" s="13"/>
      <c r="K46" s="13"/>
      <c r="L46" s="13"/>
      <c r="M46" s="13"/>
    </row>
    <row r="47">
      <c r="A47" s="57" t="s">
        <v>72</v>
      </c>
      <c r="B47" s="37">
        <v>250000.0</v>
      </c>
      <c r="C47" s="37">
        <v>330000.0</v>
      </c>
      <c r="D47" s="37">
        <v>330000.0</v>
      </c>
      <c r="E47" s="37">
        <v>330000.0</v>
      </c>
      <c r="F47" s="37">
        <v>330000.0</v>
      </c>
      <c r="G47" s="58" t="s">
        <v>133</v>
      </c>
      <c r="H47" s="37">
        <v>330000.0</v>
      </c>
      <c r="I47" s="37">
        <v>330000.0</v>
      </c>
      <c r="J47" s="37">
        <v>330000.0</v>
      </c>
      <c r="K47" s="37">
        <v>330000.0</v>
      </c>
      <c r="L47" s="37">
        <v>330000.0</v>
      </c>
      <c r="M47" s="13"/>
    </row>
    <row r="48">
      <c r="A48" s="39" t="s">
        <v>134</v>
      </c>
      <c r="B48" s="37">
        <v>280000.0</v>
      </c>
      <c r="C48" s="37">
        <v>330000.0</v>
      </c>
      <c r="D48" s="37">
        <v>330000.0</v>
      </c>
      <c r="E48" s="37">
        <v>330000.0</v>
      </c>
      <c r="F48" s="37">
        <v>330000.0</v>
      </c>
      <c r="G48" s="37">
        <v>330000.0</v>
      </c>
      <c r="H48" s="37">
        <v>330000.0</v>
      </c>
      <c r="I48" s="37">
        <v>330000.0</v>
      </c>
      <c r="J48" s="37">
        <v>330000.0</v>
      </c>
      <c r="K48" s="37">
        <v>330000.0</v>
      </c>
      <c r="L48" s="37">
        <v>330000.0</v>
      </c>
      <c r="M48" s="37">
        <v>330000.0</v>
      </c>
    </row>
    <row r="49">
      <c r="A49" s="39" t="s">
        <v>76</v>
      </c>
      <c r="B49" s="13"/>
      <c r="C49" s="13"/>
      <c r="D49" s="13"/>
      <c r="E49" s="13"/>
      <c r="F49" s="37">
        <v>330000.0</v>
      </c>
      <c r="G49" s="37">
        <v>330000.0</v>
      </c>
      <c r="H49" s="37">
        <v>330000.0</v>
      </c>
      <c r="I49" s="37">
        <v>330000.0</v>
      </c>
      <c r="J49" s="37">
        <v>330000.0</v>
      </c>
      <c r="K49" s="37">
        <v>330000.0</v>
      </c>
      <c r="L49" s="37">
        <v>330000.0</v>
      </c>
      <c r="M49" s="37">
        <v>330000.0</v>
      </c>
    </row>
    <row r="50">
      <c r="A50" s="38" t="s">
        <v>75</v>
      </c>
      <c r="B50" s="59">
        <v>140000.0</v>
      </c>
      <c r="C50" s="59">
        <v>300000.0</v>
      </c>
      <c r="D50" s="59">
        <v>300000.0</v>
      </c>
      <c r="E50" s="37">
        <v>300000.0</v>
      </c>
      <c r="F50" s="58" t="s">
        <v>133</v>
      </c>
      <c r="G50" s="37" t="s">
        <v>135</v>
      </c>
      <c r="H50" s="37">
        <v>300000.0</v>
      </c>
      <c r="I50" s="13"/>
      <c r="J50" s="37">
        <v>300000.0</v>
      </c>
      <c r="K50" s="37">
        <v>300000.0</v>
      </c>
      <c r="L50" s="37">
        <v>300000.0</v>
      </c>
      <c r="M50" s="37">
        <v>300000.0</v>
      </c>
    </row>
    <row r="51">
      <c r="A51" s="38" t="s">
        <v>89</v>
      </c>
      <c r="B51" s="59">
        <v>406000.0</v>
      </c>
      <c r="C51" s="59">
        <v>392000.0</v>
      </c>
      <c r="D51" s="59">
        <v>387000.0</v>
      </c>
      <c r="E51" s="37">
        <v>376000.0</v>
      </c>
      <c r="F51" s="37">
        <v>405000.0</v>
      </c>
      <c r="G51" s="37">
        <v>378000.0</v>
      </c>
      <c r="H51" s="37">
        <v>438000.0</v>
      </c>
      <c r="I51" s="37">
        <v>431000.0</v>
      </c>
      <c r="J51" s="37">
        <v>448000.0</v>
      </c>
      <c r="K51" s="37">
        <v>450000.0</v>
      </c>
      <c r="L51" s="37">
        <v>500000.0</v>
      </c>
      <c r="M51" s="37">
        <v>475000.0</v>
      </c>
    </row>
    <row r="52">
      <c r="A52" s="38" t="s">
        <v>136</v>
      </c>
      <c r="B52" s="41"/>
      <c r="C52" s="41"/>
      <c r="D52" s="41"/>
      <c r="E52" s="13"/>
      <c r="F52" s="13"/>
      <c r="G52" s="13"/>
      <c r="H52" s="13"/>
      <c r="I52" s="13"/>
      <c r="J52" s="13"/>
      <c r="K52" s="13"/>
      <c r="L52" s="13"/>
      <c r="M52" s="13"/>
    </row>
    <row r="53">
      <c r="A53" s="12" t="s">
        <v>137</v>
      </c>
      <c r="B53" s="59">
        <v>91000.0</v>
      </c>
      <c r="C53" s="59">
        <v>394000.0</v>
      </c>
      <c r="D53" s="59">
        <v>375000.0</v>
      </c>
      <c r="E53" s="37">
        <v>375000.0</v>
      </c>
      <c r="F53" s="37">
        <v>409000.0</v>
      </c>
      <c r="G53" s="37">
        <v>396000.0</v>
      </c>
      <c r="H53" s="58" t="s">
        <v>133</v>
      </c>
      <c r="I53" s="13"/>
      <c r="J53" s="13"/>
      <c r="K53" s="13"/>
      <c r="L53" s="13"/>
      <c r="M53" s="13"/>
    </row>
    <row r="54">
      <c r="A54" s="12" t="s">
        <v>10</v>
      </c>
      <c r="B54" s="60">
        <v>230000.0</v>
      </c>
      <c r="C54" s="41"/>
      <c r="D54" s="42"/>
      <c r="E54" s="13"/>
      <c r="F54" s="13"/>
      <c r="G54" s="13"/>
      <c r="H54" s="13"/>
      <c r="I54" s="13"/>
      <c r="J54" s="13"/>
      <c r="K54" s="13"/>
      <c r="L54" s="13"/>
      <c r="M54" s="13"/>
    </row>
    <row r="55">
      <c r="A55" s="12" t="s">
        <v>84</v>
      </c>
      <c r="B55" s="60">
        <v>250000.0</v>
      </c>
      <c r="C55" s="60">
        <v>300000.0</v>
      </c>
      <c r="D55" s="60">
        <v>300000.0</v>
      </c>
      <c r="E55" s="6">
        <v>300000.0</v>
      </c>
      <c r="F55" s="13"/>
      <c r="G55" s="13"/>
      <c r="H55" s="13"/>
      <c r="I55" s="13"/>
      <c r="J55" s="13"/>
      <c r="K55" s="13"/>
      <c r="L55" s="13"/>
      <c r="M55" s="13"/>
    </row>
    <row r="56">
      <c r="A56" s="4" t="s">
        <v>40</v>
      </c>
      <c r="B56" s="41"/>
      <c r="C56" s="13"/>
      <c r="D56" s="13"/>
      <c r="E56" s="13"/>
      <c r="F56" s="13"/>
      <c r="G56" s="13"/>
      <c r="H56" s="13"/>
      <c r="I56" s="13"/>
      <c r="J56" s="13"/>
      <c r="K56" s="6">
        <v>350000.0</v>
      </c>
      <c r="L56" s="6">
        <v>350000.0</v>
      </c>
      <c r="M56" s="6">
        <v>350000.0</v>
      </c>
    </row>
    <row r="57">
      <c r="A57" s="4" t="s">
        <v>81</v>
      </c>
      <c r="B57" s="60">
        <v>200000.0</v>
      </c>
      <c r="C57" s="6">
        <v>250000.0</v>
      </c>
      <c r="D57" s="6">
        <v>250000.0</v>
      </c>
      <c r="E57" s="6">
        <v>250000.0</v>
      </c>
      <c r="F57" s="6">
        <v>250000.0</v>
      </c>
      <c r="G57" s="6">
        <v>250000.0</v>
      </c>
      <c r="H57" s="6">
        <v>250000.0</v>
      </c>
      <c r="I57" s="6">
        <v>250000.0</v>
      </c>
      <c r="J57" s="6">
        <v>250000.0</v>
      </c>
      <c r="K57" s="6">
        <v>250000.0</v>
      </c>
      <c r="L57" s="6">
        <v>250000.0</v>
      </c>
      <c r="M57" s="6">
        <v>250000.0</v>
      </c>
    </row>
    <row r="58">
      <c r="A58" s="4" t="s">
        <v>77</v>
      </c>
      <c r="B58" s="6">
        <v>250000.0</v>
      </c>
      <c r="C58" s="60">
        <v>300000.0</v>
      </c>
      <c r="D58" s="60">
        <v>300000.0</v>
      </c>
      <c r="E58" s="6">
        <v>300000.0</v>
      </c>
      <c r="F58" s="13"/>
      <c r="G58" s="6">
        <v>300000.0</v>
      </c>
      <c r="H58" s="13"/>
      <c r="I58" s="13"/>
      <c r="J58" s="6">
        <v>300000.0</v>
      </c>
      <c r="K58" s="6">
        <v>150000.0</v>
      </c>
      <c r="L58" s="6">
        <v>300000.0</v>
      </c>
      <c r="M58" s="6">
        <v>300000.0</v>
      </c>
    </row>
    <row r="59">
      <c r="A59" s="4" t="s">
        <v>53</v>
      </c>
      <c r="B59" s="6">
        <v>200000.0</v>
      </c>
      <c r="C59" s="6">
        <v>250000.0</v>
      </c>
      <c r="D59" s="6">
        <v>250000.0</v>
      </c>
      <c r="E59" s="6">
        <v>250000.0</v>
      </c>
      <c r="F59" s="6">
        <v>250000.0</v>
      </c>
      <c r="G59" s="6">
        <v>250000.0</v>
      </c>
      <c r="H59" s="6">
        <v>250000.0</v>
      </c>
      <c r="I59" s="6">
        <v>250000.0</v>
      </c>
      <c r="J59" s="6">
        <v>250000.0</v>
      </c>
      <c r="K59" s="6">
        <v>125000.0</v>
      </c>
      <c r="L59" s="6">
        <v>250000.0</v>
      </c>
      <c r="M59" s="6">
        <v>250000.0</v>
      </c>
    </row>
    <row r="60">
      <c r="A60" s="12" t="s">
        <v>14</v>
      </c>
      <c r="B60" s="6">
        <v>283000.0</v>
      </c>
      <c r="C60" s="6">
        <v>313000.0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>
      <c r="A61" s="12" t="s">
        <v>138</v>
      </c>
      <c r="B61" s="6">
        <v>400000.0</v>
      </c>
      <c r="C61" s="6">
        <v>393000.0</v>
      </c>
      <c r="D61" s="6">
        <v>376000.0</v>
      </c>
      <c r="E61" s="6">
        <v>377000.0</v>
      </c>
      <c r="F61" s="6">
        <v>397000.0</v>
      </c>
      <c r="G61" s="6">
        <v>395000.0</v>
      </c>
      <c r="H61" s="6">
        <v>433000.0</v>
      </c>
      <c r="I61" s="6">
        <v>440000.0</v>
      </c>
      <c r="J61" s="6">
        <v>453000.0</v>
      </c>
      <c r="K61" s="13"/>
      <c r="L61" s="13"/>
      <c r="M61" s="13"/>
    </row>
    <row r="62">
      <c r="A62" s="4" t="s">
        <v>49</v>
      </c>
      <c r="B62" s="6">
        <v>200000.0</v>
      </c>
      <c r="C62" s="6">
        <v>300000.0</v>
      </c>
      <c r="D62" s="6">
        <v>300000.0</v>
      </c>
      <c r="E62" s="6">
        <v>300000.0</v>
      </c>
      <c r="F62" s="6">
        <v>300000.0</v>
      </c>
      <c r="G62" s="6">
        <v>300000.0</v>
      </c>
      <c r="H62" s="6">
        <v>300000.0</v>
      </c>
      <c r="I62" s="6">
        <v>300000.0</v>
      </c>
      <c r="J62" s="6">
        <v>300000.0</v>
      </c>
      <c r="K62" s="6">
        <v>300000.0</v>
      </c>
      <c r="L62" s="6">
        <v>300000.0</v>
      </c>
      <c r="M62" s="6">
        <v>300000.0</v>
      </c>
    </row>
    <row r="63">
      <c r="A63" s="4" t="s">
        <v>139</v>
      </c>
      <c r="B63" s="13"/>
      <c r="C63" s="13"/>
      <c r="D63" s="13"/>
      <c r="E63" s="6">
        <v>300000.0</v>
      </c>
      <c r="F63" s="6">
        <v>300000.0</v>
      </c>
      <c r="G63" s="6">
        <v>300000.0</v>
      </c>
      <c r="H63" s="6">
        <v>300000.0</v>
      </c>
      <c r="I63" s="6">
        <v>300000.0</v>
      </c>
      <c r="J63" s="6">
        <v>300000.0</v>
      </c>
      <c r="K63" s="6">
        <v>300000.0</v>
      </c>
      <c r="L63" s="6">
        <v>300000.0</v>
      </c>
      <c r="M63" s="6">
        <v>250000.0</v>
      </c>
    </row>
    <row r="64">
      <c r="A64" s="12" t="s">
        <v>83</v>
      </c>
      <c r="B64" s="60">
        <v>100000.0</v>
      </c>
      <c r="C64" s="6">
        <v>250000.0</v>
      </c>
      <c r="D64" s="6">
        <v>250000.0</v>
      </c>
      <c r="E64" s="58" t="s">
        <v>110</v>
      </c>
      <c r="F64" s="13"/>
      <c r="G64" s="13"/>
      <c r="H64" s="13"/>
      <c r="I64" s="13"/>
      <c r="J64" s="13"/>
      <c r="K64" s="13"/>
      <c r="L64" s="13"/>
      <c r="M64" s="13"/>
    </row>
    <row r="65">
      <c r="A65" s="4" t="s">
        <v>140</v>
      </c>
      <c r="B65" s="41"/>
      <c r="C65" s="13"/>
      <c r="D65" s="13"/>
      <c r="E65" s="13"/>
      <c r="F65" s="6">
        <v>250000.0</v>
      </c>
      <c r="G65" s="6">
        <v>250000.0</v>
      </c>
      <c r="H65" s="6">
        <v>250000.0</v>
      </c>
      <c r="I65" s="6">
        <v>250000.0</v>
      </c>
      <c r="J65" s="6">
        <v>250000.0</v>
      </c>
      <c r="K65" s="6">
        <v>250000.0</v>
      </c>
      <c r="L65" s="6">
        <v>250000.0</v>
      </c>
      <c r="M65" s="6">
        <v>250000.0</v>
      </c>
    </row>
    <row r="66">
      <c r="A66" s="12" t="s">
        <v>76</v>
      </c>
      <c r="B66" s="6">
        <v>250000.0</v>
      </c>
      <c r="C66" s="6">
        <v>250000.0</v>
      </c>
      <c r="D66" s="6">
        <v>300000.0</v>
      </c>
      <c r="E66" s="6">
        <v>300000.0</v>
      </c>
      <c r="F66" s="13"/>
      <c r="G66" s="13"/>
      <c r="H66" s="13"/>
      <c r="I66" s="13"/>
      <c r="J66" s="13"/>
      <c r="K66" s="13"/>
      <c r="L66" s="13"/>
      <c r="M66" s="13"/>
    </row>
    <row r="67">
      <c r="A67" s="4" t="s">
        <v>47</v>
      </c>
      <c r="B67" s="6">
        <v>326000.0</v>
      </c>
      <c r="C67" s="60">
        <v>314000.0</v>
      </c>
      <c r="D67" s="60">
        <v>305000.0</v>
      </c>
      <c r="E67" s="6">
        <v>300000.0</v>
      </c>
      <c r="F67" s="6">
        <v>323000.0</v>
      </c>
      <c r="G67" s="6">
        <v>304000.0</v>
      </c>
      <c r="H67" s="6">
        <v>350000.0</v>
      </c>
      <c r="I67" s="6">
        <v>345000.0</v>
      </c>
      <c r="J67" s="6">
        <v>352000.0</v>
      </c>
      <c r="K67" s="6">
        <v>368000.0</v>
      </c>
      <c r="L67" s="6">
        <v>398000.0</v>
      </c>
      <c r="M67" s="6">
        <v>382000.0</v>
      </c>
    </row>
    <row r="68">
      <c r="A68" s="4" t="s">
        <v>141</v>
      </c>
      <c r="B68" s="13"/>
      <c r="C68" s="41"/>
      <c r="D68" s="41"/>
      <c r="E68" s="13"/>
      <c r="F68" s="13"/>
      <c r="G68" s="13"/>
      <c r="H68" s="13"/>
      <c r="I68" s="13"/>
      <c r="J68" s="6">
        <v>92000.0</v>
      </c>
      <c r="K68" s="6">
        <v>352000.0</v>
      </c>
      <c r="L68" s="6">
        <v>400000.0</v>
      </c>
      <c r="M68" s="6">
        <v>380000.0</v>
      </c>
    </row>
    <row r="69">
      <c r="A69" s="4" t="s">
        <v>142</v>
      </c>
      <c r="B69" s="6">
        <v>77000.0</v>
      </c>
      <c r="C69" s="60">
        <v>330000.0</v>
      </c>
      <c r="D69" s="60">
        <v>330000.0</v>
      </c>
      <c r="E69" s="6">
        <v>330000.0</v>
      </c>
      <c r="F69" s="6">
        <v>330000.0</v>
      </c>
      <c r="G69" s="6">
        <v>330000.0</v>
      </c>
      <c r="H69" s="6">
        <v>330000.0</v>
      </c>
      <c r="I69" s="6">
        <v>330000.0</v>
      </c>
      <c r="J69" s="6">
        <v>300000.0</v>
      </c>
      <c r="K69" s="6">
        <v>300000.0</v>
      </c>
      <c r="L69" s="6">
        <v>330000.0</v>
      </c>
      <c r="M69" s="6">
        <v>330000.0</v>
      </c>
    </row>
    <row r="70">
      <c r="A70" s="12" t="s">
        <v>88</v>
      </c>
      <c r="B70" s="6">
        <v>200000.0</v>
      </c>
      <c r="C70" s="60">
        <v>196000.0</v>
      </c>
      <c r="D70" s="42"/>
      <c r="E70" s="6">
        <v>187000.0</v>
      </c>
      <c r="F70" s="6">
        <v>202000.0</v>
      </c>
      <c r="G70" s="6">
        <v>250000.0</v>
      </c>
      <c r="H70" s="13"/>
      <c r="I70" s="13"/>
      <c r="J70" s="13"/>
      <c r="K70" s="13"/>
      <c r="L70" s="13"/>
      <c r="M70" s="13"/>
    </row>
    <row r="71">
      <c r="A71" s="4" t="s">
        <v>80</v>
      </c>
      <c r="B71" s="6">
        <v>280000.0</v>
      </c>
      <c r="C71" s="60">
        <v>330000.0</v>
      </c>
      <c r="D71" s="60">
        <v>330000.0</v>
      </c>
      <c r="E71" s="61" t="s">
        <v>133</v>
      </c>
      <c r="F71" s="6">
        <v>330000.0</v>
      </c>
      <c r="G71" s="6">
        <v>330000.0</v>
      </c>
      <c r="H71" s="6">
        <v>330000.0</v>
      </c>
      <c r="I71" s="6">
        <v>330000.0</v>
      </c>
      <c r="J71" s="6">
        <v>330000.0</v>
      </c>
      <c r="K71" s="6">
        <v>110000.0</v>
      </c>
      <c r="L71" s="6">
        <v>330000.0</v>
      </c>
      <c r="M71" s="6">
        <v>330000.0</v>
      </c>
    </row>
    <row r="72">
      <c r="A72" s="4" t="s">
        <v>78</v>
      </c>
      <c r="B72" s="6">
        <v>284000.0</v>
      </c>
      <c r="C72" s="60">
        <v>317000.0</v>
      </c>
      <c r="D72" s="60">
        <v>300000.0</v>
      </c>
      <c r="E72" s="6">
        <v>296000.0</v>
      </c>
      <c r="F72" s="6">
        <v>327000.0</v>
      </c>
      <c r="G72" s="6">
        <v>304000.0</v>
      </c>
      <c r="H72" s="6">
        <v>350000.0</v>
      </c>
      <c r="I72" s="6">
        <v>330000.0</v>
      </c>
      <c r="J72" s="6">
        <v>358000.0</v>
      </c>
      <c r="K72" s="6">
        <v>367000.0</v>
      </c>
      <c r="L72" s="6">
        <v>384000.0</v>
      </c>
      <c r="M72" s="6">
        <v>380000.0</v>
      </c>
    </row>
    <row r="73">
      <c r="A73" s="12" t="s">
        <v>39</v>
      </c>
      <c r="B73" s="13"/>
      <c r="C73" s="41"/>
      <c r="D73" s="41"/>
      <c r="E73" s="13"/>
      <c r="F73" s="13"/>
      <c r="G73" s="13"/>
      <c r="H73" s="13"/>
      <c r="I73" s="6">
        <v>250000.0</v>
      </c>
      <c r="J73" s="13"/>
      <c r="K73" s="13"/>
      <c r="L73" s="13"/>
      <c r="M73" s="13"/>
    </row>
    <row r="74">
      <c r="A74" s="57" t="s">
        <v>73</v>
      </c>
      <c r="B74" s="60">
        <v>326000.0</v>
      </c>
      <c r="C74" s="6">
        <v>316000.0</v>
      </c>
      <c r="D74" s="6">
        <v>300000.0</v>
      </c>
      <c r="E74" s="6">
        <v>296000.0</v>
      </c>
      <c r="F74" s="6">
        <v>326000.0</v>
      </c>
      <c r="G74" s="13"/>
      <c r="H74" s="13"/>
      <c r="I74" s="13"/>
      <c r="J74" s="13"/>
      <c r="K74" s="13"/>
      <c r="L74" s="13"/>
      <c r="M74" s="13"/>
    </row>
    <row r="75">
      <c r="A75" s="4" t="s">
        <v>85</v>
      </c>
      <c r="B75" s="60">
        <v>262000.0</v>
      </c>
      <c r="C75" s="6">
        <v>315000.0</v>
      </c>
      <c r="D75" s="6">
        <v>305000.0</v>
      </c>
      <c r="E75" s="6">
        <v>301000.0</v>
      </c>
      <c r="F75" s="6">
        <v>324000.0</v>
      </c>
      <c r="G75" s="6">
        <v>301000.0</v>
      </c>
      <c r="H75" s="6">
        <v>353000.0</v>
      </c>
      <c r="I75" s="6">
        <v>345000.0</v>
      </c>
      <c r="J75" s="6">
        <v>358000.0</v>
      </c>
      <c r="K75" s="6">
        <v>367000.0</v>
      </c>
      <c r="L75" s="6">
        <v>392000.0</v>
      </c>
      <c r="M75" s="6">
        <v>385000.0</v>
      </c>
    </row>
    <row r="76">
      <c r="A76" s="4" t="s">
        <v>143</v>
      </c>
      <c r="B76" s="41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6">
        <v>280000.0</v>
      </c>
    </row>
    <row r="77">
      <c r="A77" s="24" t="s">
        <v>144</v>
      </c>
      <c r="B77" s="41"/>
      <c r="C77" s="13"/>
      <c r="D77" s="13"/>
      <c r="E77" s="13"/>
      <c r="F77" s="13"/>
      <c r="G77" s="13"/>
      <c r="H77" s="13"/>
      <c r="I77" s="13"/>
      <c r="J77" s="13"/>
      <c r="K77" s="25">
        <v>300000.0</v>
      </c>
      <c r="L77" s="25">
        <v>300000.0</v>
      </c>
      <c r="M77" s="25">
        <v>300000.0</v>
      </c>
    </row>
    <row r="78">
      <c r="A78" s="24" t="s">
        <v>145</v>
      </c>
      <c r="B78" s="4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>
        <v>380000.0</v>
      </c>
    </row>
    <row r="79">
      <c r="A79" s="24" t="s">
        <v>146</v>
      </c>
      <c r="B79" s="4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>
        <v>350000.0</v>
      </c>
    </row>
    <row r="80">
      <c r="A80" s="24" t="s">
        <v>147</v>
      </c>
      <c r="B80" s="4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>
        <v>380000.0</v>
      </c>
    </row>
    <row r="81">
      <c r="A81" s="24" t="s">
        <v>148</v>
      </c>
      <c r="B81" s="41"/>
      <c r="C81" s="13"/>
      <c r="D81" s="13"/>
      <c r="E81" s="13"/>
      <c r="F81" s="13"/>
      <c r="G81" s="13"/>
      <c r="H81" s="13"/>
      <c r="I81" s="13"/>
      <c r="J81" s="13"/>
      <c r="K81" s="55">
        <v>93000.0</v>
      </c>
      <c r="L81" s="25">
        <v>257000.0</v>
      </c>
      <c r="M81" s="25">
        <v>350000.0</v>
      </c>
    </row>
    <row r="82">
      <c r="A82" s="24" t="s">
        <v>149</v>
      </c>
      <c r="B82" s="41"/>
      <c r="C82" s="13"/>
      <c r="D82" s="13"/>
      <c r="E82" s="13"/>
      <c r="F82" s="13"/>
      <c r="G82" s="13"/>
      <c r="H82" s="13"/>
      <c r="I82" s="25">
        <v>350000.0</v>
      </c>
      <c r="J82" s="25">
        <v>350000.0</v>
      </c>
      <c r="K82" s="25">
        <v>350000.0</v>
      </c>
      <c r="L82" s="25">
        <v>350000.0</v>
      </c>
      <c r="M82" s="25">
        <v>350000.0</v>
      </c>
    </row>
    <row r="83">
      <c r="A83" s="24" t="s">
        <v>150</v>
      </c>
      <c r="B83" s="41"/>
      <c r="C83" s="13"/>
      <c r="D83" s="13"/>
      <c r="E83" s="13"/>
      <c r="F83" s="13"/>
      <c r="G83" s="13"/>
      <c r="H83" s="13"/>
      <c r="I83" s="13"/>
      <c r="J83" s="25">
        <v>175000.0</v>
      </c>
      <c r="K83" s="25">
        <v>350000.0</v>
      </c>
      <c r="L83" s="25">
        <v>350000.0</v>
      </c>
      <c r="M83" s="25">
        <v>350000.0</v>
      </c>
    </row>
    <row r="84">
      <c r="A84" s="24" t="s">
        <v>151</v>
      </c>
      <c r="B84" s="23"/>
      <c r="C84" s="13"/>
      <c r="D84" s="13"/>
      <c r="E84" s="13"/>
      <c r="F84" s="13"/>
      <c r="G84" s="13"/>
      <c r="H84" s="13"/>
      <c r="I84" s="25">
        <v>350000.0</v>
      </c>
      <c r="J84" s="25">
        <v>350000.0</v>
      </c>
      <c r="K84" s="25">
        <v>350000.0</v>
      </c>
      <c r="L84" s="25">
        <v>350000.0</v>
      </c>
      <c r="M84" s="25">
        <v>350000.0</v>
      </c>
    </row>
    <row r="85">
      <c r="A85" s="24" t="s">
        <v>152</v>
      </c>
      <c r="B85" s="2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>
      <c r="A86" s="24" t="s">
        <v>153</v>
      </c>
      <c r="B86" s="23"/>
      <c r="C86" s="13"/>
      <c r="D86" s="13"/>
      <c r="E86" s="13"/>
      <c r="F86" s="13"/>
      <c r="G86" s="13"/>
      <c r="H86" s="13"/>
      <c r="I86" s="13"/>
      <c r="J86" s="25">
        <v>256000.0</v>
      </c>
      <c r="K86" s="25">
        <v>350000.0</v>
      </c>
      <c r="L86" s="25">
        <v>350000.0</v>
      </c>
      <c r="M86" s="25">
        <v>350000.0</v>
      </c>
    </row>
    <row r="87">
      <c r="A87" s="24" t="s">
        <v>154</v>
      </c>
      <c r="B87" s="23"/>
      <c r="C87" s="13"/>
      <c r="D87" s="13"/>
      <c r="E87" s="13"/>
      <c r="F87" s="13"/>
      <c r="G87" s="13"/>
      <c r="H87" s="13"/>
      <c r="I87" s="13"/>
      <c r="J87" s="13"/>
      <c r="K87" s="25">
        <v>116000.0</v>
      </c>
      <c r="L87" s="25">
        <v>350000.0</v>
      </c>
      <c r="M87" s="25">
        <v>350000.0</v>
      </c>
    </row>
    <row r="88">
      <c r="A88" s="62" t="s">
        <v>155</v>
      </c>
      <c r="B88" s="23"/>
      <c r="C88" s="13"/>
      <c r="D88" s="13"/>
      <c r="E88" s="13"/>
      <c r="F88" s="13"/>
      <c r="G88" s="13"/>
      <c r="H88" s="13"/>
      <c r="I88" s="13"/>
      <c r="J88" s="13"/>
      <c r="K88" s="56">
        <v>300000.0</v>
      </c>
      <c r="L88" s="56">
        <v>336000.0</v>
      </c>
      <c r="M88" s="56">
        <v>336000.0</v>
      </c>
    </row>
    <row r="89">
      <c r="A89" s="62" t="s">
        <v>156</v>
      </c>
      <c r="B89" s="23"/>
      <c r="C89" s="13"/>
      <c r="D89" s="13"/>
      <c r="E89" s="13"/>
      <c r="F89" s="13"/>
      <c r="G89" s="13"/>
      <c r="H89" s="13"/>
      <c r="I89" s="13"/>
      <c r="J89" s="56">
        <v>220000.0</v>
      </c>
      <c r="K89" s="56">
        <v>300000.0</v>
      </c>
      <c r="L89" s="56">
        <v>348000.0</v>
      </c>
      <c r="M89" s="56">
        <v>332000.0</v>
      </c>
    </row>
    <row r="90">
      <c r="A90" s="62" t="s">
        <v>157</v>
      </c>
      <c r="B90" s="41"/>
      <c r="C90" s="13"/>
      <c r="D90" s="13"/>
      <c r="E90" s="13"/>
      <c r="F90" s="13"/>
      <c r="G90" s="13"/>
      <c r="H90" s="13"/>
      <c r="I90" s="56">
        <v>250000.0</v>
      </c>
      <c r="J90" s="56">
        <v>250000.0</v>
      </c>
      <c r="K90" s="56">
        <v>250000.0</v>
      </c>
      <c r="L90" s="56">
        <v>250000.0</v>
      </c>
      <c r="M90" s="56">
        <v>250000.0</v>
      </c>
    </row>
    <row r="91">
      <c r="A91" s="62" t="s">
        <v>158</v>
      </c>
      <c r="B91" s="41"/>
      <c r="C91" s="13"/>
      <c r="D91" s="13"/>
      <c r="E91" s="13"/>
      <c r="F91" s="13"/>
      <c r="G91" s="13"/>
      <c r="H91" s="13"/>
      <c r="I91" s="13"/>
      <c r="J91" s="56">
        <v>150000.0</v>
      </c>
      <c r="K91" s="56">
        <v>250000.0</v>
      </c>
      <c r="L91" s="56">
        <v>250000.0</v>
      </c>
      <c r="M91" s="56">
        <v>250000.0</v>
      </c>
    </row>
    <row r="92">
      <c r="A92" s="12" t="s">
        <v>126</v>
      </c>
      <c r="B92" s="41"/>
      <c r="C92" s="13"/>
      <c r="D92" s="13"/>
      <c r="E92" s="13"/>
      <c r="F92" s="13"/>
      <c r="G92" s="13"/>
      <c r="H92" s="63">
        <v>250000.0</v>
      </c>
      <c r="I92" s="56">
        <v>250000.0</v>
      </c>
      <c r="J92" s="13"/>
      <c r="K92" s="13"/>
      <c r="L92" s="13"/>
      <c r="M92" s="13"/>
    </row>
    <row r="93">
      <c r="A93" s="12" t="s">
        <v>159</v>
      </c>
      <c r="B93" s="41"/>
      <c r="C93" s="13"/>
      <c r="D93" s="13"/>
      <c r="E93" s="13"/>
      <c r="F93" s="13"/>
      <c r="G93" s="13"/>
      <c r="H93" s="13"/>
      <c r="I93" s="56">
        <v>166000.0</v>
      </c>
      <c r="J93" s="56">
        <v>250000.0</v>
      </c>
      <c r="K93" s="56">
        <v>250000.0</v>
      </c>
      <c r="L93" s="56">
        <v>250000.0</v>
      </c>
      <c r="M93" s="56">
        <v>250000.0</v>
      </c>
    </row>
    <row r="94">
      <c r="A94" s="12" t="s">
        <v>160</v>
      </c>
      <c r="B94" s="41"/>
      <c r="C94" s="13"/>
      <c r="D94" s="13"/>
      <c r="E94" s="13"/>
      <c r="F94" s="13"/>
      <c r="G94" s="13"/>
      <c r="H94" s="13"/>
      <c r="I94" s="56">
        <v>150000.0</v>
      </c>
      <c r="J94" s="56">
        <v>250000.0</v>
      </c>
      <c r="K94" s="56">
        <v>250000.0</v>
      </c>
      <c r="L94" s="13"/>
      <c r="M94" s="13"/>
    </row>
    <row r="95">
      <c r="A95" s="62" t="s">
        <v>161</v>
      </c>
      <c r="B95" s="41"/>
      <c r="C95" s="13"/>
      <c r="D95" s="13"/>
      <c r="E95" s="13"/>
      <c r="F95" s="13"/>
      <c r="G95" s="13"/>
      <c r="H95" s="13"/>
      <c r="I95" s="13"/>
      <c r="J95" s="56">
        <v>100000.0</v>
      </c>
      <c r="K95" s="56">
        <v>300000.0</v>
      </c>
      <c r="L95" s="56">
        <v>350000.0</v>
      </c>
      <c r="M95" s="56">
        <v>338000.0</v>
      </c>
    </row>
    <row r="96">
      <c r="A96" s="12" t="s">
        <v>129</v>
      </c>
      <c r="B96" s="41"/>
      <c r="C96" s="13"/>
      <c r="D96" s="13"/>
      <c r="E96" s="13"/>
      <c r="F96" s="13"/>
      <c r="G96" s="13"/>
      <c r="H96" s="63">
        <v>330000.0</v>
      </c>
      <c r="I96" s="13"/>
      <c r="J96" s="13"/>
      <c r="K96" s="13"/>
      <c r="L96" s="13"/>
      <c r="M96" s="13"/>
    </row>
    <row r="97">
      <c r="A97" s="9" t="s">
        <v>16</v>
      </c>
      <c r="B97" s="10">
        <f t="shared" ref="B97:G97" si="1">SUM(B5:B75)</f>
        <v>9705600</v>
      </c>
      <c r="C97" s="10">
        <f t="shared" si="1"/>
        <v>11178000</v>
      </c>
      <c r="D97" s="10">
        <f t="shared" si="1"/>
        <v>10586000</v>
      </c>
      <c r="E97" s="10">
        <f t="shared" si="1"/>
        <v>11035000</v>
      </c>
      <c r="F97" s="10">
        <f t="shared" si="1"/>
        <v>12619000</v>
      </c>
      <c r="G97" s="10">
        <f t="shared" si="1"/>
        <v>12746000</v>
      </c>
      <c r="H97" s="10">
        <f t="shared" ref="H97:M97" si="2">SUM(H5:H96)</f>
        <v>13289000</v>
      </c>
      <c r="I97" s="10">
        <f t="shared" si="2"/>
        <v>14752000</v>
      </c>
      <c r="J97" s="10">
        <f t="shared" si="2"/>
        <v>14642000</v>
      </c>
      <c r="K97" s="10">
        <f t="shared" si="2"/>
        <v>15778000</v>
      </c>
      <c r="L97" s="10">
        <f t="shared" si="2"/>
        <v>17521000</v>
      </c>
      <c r="M97" s="10">
        <f t="shared" si="2"/>
        <v>17313000</v>
      </c>
      <c r="N97" s="11">
        <f>sum(B97:M97)</f>
        <v>161164600</v>
      </c>
    </row>
    <row r="98">
      <c r="B98" s="11"/>
      <c r="C98" s="11"/>
      <c r="D98" s="11"/>
      <c r="E98" s="11"/>
      <c r="F98" s="11"/>
    </row>
    <row r="99">
      <c r="A99" s="12" t="s">
        <v>17</v>
      </c>
      <c r="B99" s="5" t="s">
        <v>162</v>
      </c>
      <c r="C99" s="5" t="s">
        <v>163</v>
      </c>
      <c r="D99" s="5" t="s">
        <v>32</v>
      </c>
      <c r="E99" s="5" t="s">
        <v>33</v>
      </c>
      <c r="F99" s="5" t="s">
        <v>34</v>
      </c>
      <c r="G99" s="5" t="s">
        <v>35</v>
      </c>
      <c r="H99" s="5" t="s">
        <v>36</v>
      </c>
      <c r="I99" s="5" t="s">
        <v>2</v>
      </c>
      <c r="J99" s="5" t="s">
        <v>3</v>
      </c>
      <c r="K99" s="5" t="s">
        <v>4</v>
      </c>
      <c r="L99" s="5" t="s">
        <v>5</v>
      </c>
      <c r="M99" s="5" t="s">
        <v>6</v>
      </c>
    </row>
    <row r="100">
      <c r="A100" s="4" t="s">
        <v>19</v>
      </c>
      <c r="B100" s="6">
        <v>110000.0</v>
      </c>
      <c r="C100" s="6">
        <v>100000.0</v>
      </c>
      <c r="D100" s="6">
        <v>95000.0</v>
      </c>
      <c r="E100" s="6">
        <v>95000.0</v>
      </c>
      <c r="F100" s="6">
        <v>100000.0</v>
      </c>
      <c r="G100" s="64">
        <v>95000.0</v>
      </c>
      <c r="H100" s="64">
        <v>105000.0</v>
      </c>
      <c r="I100" s="64">
        <v>103000.0</v>
      </c>
      <c r="J100" s="64">
        <v>110000.0</v>
      </c>
      <c r="K100" s="64">
        <v>112500.0</v>
      </c>
      <c r="L100" s="64">
        <v>125000.0</v>
      </c>
      <c r="M100" s="64">
        <v>120000.0</v>
      </c>
    </row>
    <row r="101">
      <c r="A101" s="4" t="s">
        <v>97</v>
      </c>
      <c r="B101" s="6"/>
      <c r="C101" s="6">
        <v>800000.0</v>
      </c>
      <c r="D101" s="6">
        <v>800000.0</v>
      </c>
      <c r="E101" s="6">
        <v>800000.0</v>
      </c>
      <c r="F101" s="6">
        <v>800000.0</v>
      </c>
      <c r="G101" s="6">
        <v>800000.0</v>
      </c>
      <c r="H101" s="6">
        <v>800000.0</v>
      </c>
      <c r="I101" s="6">
        <v>600000.0</v>
      </c>
      <c r="J101" s="6">
        <v>800000.0</v>
      </c>
      <c r="K101" s="6">
        <v>750000.0</v>
      </c>
      <c r="L101" s="6">
        <v>750000.0</v>
      </c>
      <c r="M101" s="6">
        <v>350000.0</v>
      </c>
    </row>
    <row r="102">
      <c r="A102" s="17" t="s">
        <v>20</v>
      </c>
      <c r="B102" s="6">
        <v>1150000.0</v>
      </c>
      <c r="C102" s="6">
        <v>160000.0</v>
      </c>
      <c r="D102" s="6">
        <v>160000.0</v>
      </c>
      <c r="E102" s="6">
        <v>160000.0</v>
      </c>
      <c r="F102" s="6">
        <v>160000.0</v>
      </c>
      <c r="G102" s="6">
        <v>385000.0</v>
      </c>
      <c r="H102" s="6">
        <v>160000.0</v>
      </c>
      <c r="I102" s="6">
        <v>160000.0</v>
      </c>
      <c r="J102" s="6">
        <v>160000.0</v>
      </c>
      <c r="K102" s="6">
        <v>410000.0</v>
      </c>
      <c r="L102" s="6">
        <v>160000.0</v>
      </c>
      <c r="M102" s="6">
        <v>225000.0</v>
      </c>
    </row>
    <row r="103">
      <c r="A103" s="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>
      <c r="A104" s="12" t="s">
        <v>21</v>
      </c>
      <c r="B104" s="7">
        <f t="shared" ref="B104:M104" si="3">SUM(B100:B103)</f>
        <v>1260000</v>
      </c>
      <c r="C104" s="7">
        <f t="shared" si="3"/>
        <v>1060000</v>
      </c>
      <c r="D104" s="7">
        <f t="shared" si="3"/>
        <v>1055000</v>
      </c>
      <c r="E104" s="7">
        <f t="shared" si="3"/>
        <v>1055000</v>
      </c>
      <c r="F104" s="7">
        <f t="shared" si="3"/>
        <v>1060000</v>
      </c>
      <c r="G104" s="7">
        <f t="shared" si="3"/>
        <v>1280000</v>
      </c>
      <c r="H104" s="7">
        <f t="shared" si="3"/>
        <v>1065000</v>
      </c>
      <c r="I104" s="7">
        <f t="shared" si="3"/>
        <v>863000</v>
      </c>
      <c r="J104" s="7">
        <f t="shared" si="3"/>
        <v>1070000</v>
      </c>
      <c r="K104" s="7">
        <f t="shared" si="3"/>
        <v>1272500</v>
      </c>
      <c r="L104" s="7">
        <f t="shared" si="3"/>
        <v>1035000</v>
      </c>
      <c r="M104" s="7">
        <f t="shared" si="3"/>
        <v>695000</v>
      </c>
      <c r="N104" s="11">
        <f>sum(B104:M104)</f>
        <v>12770500</v>
      </c>
    </row>
    <row r="105">
      <c r="B105" s="11"/>
      <c r="C105" s="11"/>
      <c r="D105" s="11"/>
      <c r="E105" s="11"/>
      <c r="F105" s="11"/>
    </row>
    <row r="106">
      <c r="A106" s="15" t="s">
        <v>22</v>
      </c>
      <c r="B106" s="16">
        <f t="shared" ref="B106:M106" si="4">B97-B104</f>
        <v>8445600</v>
      </c>
      <c r="C106" s="16">
        <f t="shared" si="4"/>
        <v>10118000</v>
      </c>
      <c r="D106" s="16">
        <f t="shared" si="4"/>
        <v>9531000</v>
      </c>
      <c r="E106" s="16">
        <f t="shared" si="4"/>
        <v>9980000</v>
      </c>
      <c r="F106" s="16">
        <f t="shared" si="4"/>
        <v>11559000</v>
      </c>
      <c r="G106" s="16">
        <f t="shared" si="4"/>
        <v>11466000</v>
      </c>
      <c r="H106" s="16">
        <f t="shared" si="4"/>
        <v>12224000</v>
      </c>
      <c r="I106" s="16">
        <f t="shared" si="4"/>
        <v>13889000</v>
      </c>
      <c r="J106" s="16">
        <f t="shared" si="4"/>
        <v>13572000</v>
      </c>
      <c r="K106" s="16">
        <f t="shared" si="4"/>
        <v>14505500</v>
      </c>
      <c r="L106" s="16">
        <f t="shared" si="4"/>
        <v>16486000</v>
      </c>
      <c r="M106" s="16">
        <f t="shared" si="4"/>
        <v>16618000</v>
      </c>
      <c r="N106" s="11">
        <f>sum(B106:M106)</f>
        <v>148394100</v>
      </c>
    </row>
    <row r="108">
      <c r="A108" s="31" t="s">
        <v>164</v>
      </c>
      <c r="B108" s="11">
        <f t="shared" ref="B108:D108" si="5">SUM(B5:B26)*40%</f>
        <v>1326640</v>
      </c>
      <c r="C108" s="11">
        <f t="shared" si="5"/>
        <v>1421200</v>
      </c>
      <c r="D108" s="11">
        <f t="shared" si="5"/>
        <v>1320000</v>
      </c>
      <c r="E108" s="11">
        <f>SUM(E5:E27)*40%</f>
        <v>1460000</v>
      </c>
      <c r="F108" s="11">
        <f>SUM(F5:F26)*40%</f>
        <v>1724000</v>
      </c>
      <c r="G108" s="11">
        <f t="shared" ref="G108:M108" si="6">SUM(G5:G27)*40%</f>
        <v>2128000</v>
      </c>
      <c r="H108" s="11">
        <f t="shared" si="6"/>
        <v>2058000</v>
      </c>
      <c r="I108" s="11">
        <f t="shared" si="6"/>
        <v>2228000</v>
      </c>
      <c r="J108" s="11">
        <f t="shared" si="6"/>
        <v>1964000</v>
      </c>
      <c r="K108" s="11">
        <f t="shared" si="6"/>
        <v>2096000</v>
      </c>
      <c r="L108" s="11">
        <f t="shared" si="6"/>
        <v>2282400</v>
      </c>
      <c r="M108" s="11">
        <f t="shared" si="6"/>
        <v>1798000</v>
      </c>
    </row>
    <row r="109">
      <c r="A109" s="65" t="s">
        <v>165</v>
      </c>
      <c r="B109" s="66">
        <f>B39*40%</f>
        <v>100000</v>
      </c>
      <c r="C109" s="66">
        <f>SUM(C39:C43)*70%</f>
        <v>350000</v>
      </c>
      <c r="D109" s="66">
        <f t="shared" ref="D109:G109" si="7">SUM(D30:D43)*70%</f>
        <v>507500</v>
      </c>
      <c r="E109" s="66">
        <f t="shared" si="7"/>
        <v>665000</v>
      </c>
      <c r="F109" s="66">
        <f t="shared" si="7"/>
        <v>1120000</v>
      </c>
      <c r="G109" s="66">
        <f t="shared" si="7"/>
        <v>1008000</v>
      </c>
      <c r="H109" s="66">
        <f t="shared" ref="H109:M109" si="8">SUM(H28:H43)*70%</f>
        <v>1120000</v>
      </c>
      <c r="I109" s="66">
        <f t="shared" si="8"/>
        <v>1015000</v>
      </c>
      <c r="J109" s="66">
        <f t="shared" si="8"/>
        <v>980000</v>
      </c>
      <c r="K109" s="66">
        <f t="shared" si="8"/>
        <v>980000</v>
      </c>
      <c r="L109" s="66">
        <f t="shared" si="8"/>
        <v>1190000</v>
      </c>
      <c r="M109" s="66">
        <f t="shared" si="8"/>
        <v>1190000</v>
      </c>
    </row>
    <row r="110">
      <c r="A110" s="67" t="s">
        <v>99</v>
      </c>
      <c r="B110" s="45">
        <v>300000.0</v>
      </c>
      <c r="C110" s="45">
        <v>480000.0</v>
      </c>
      <c r="D110" s="45">
        <v>480000.0</v>
      </c>
      <c r="E110" s="45">
        <v>480000.0</v>
      </c>
      <c r="F110" s="45">
        <v>480000.0</v>
      </c>
      <c r="G110" s="45">
        <v>480000.0</v>
      </c>
      <c r="H110" s="45">
        <v>560000.0</v>
      </c>
      <c r="I110" s="45">
        <v>560000.0</v>
      </c>
      <c r="J110" s="45">
        <v>480000.0</v>
      </c>
      <c r="K110" s="45">
        <v>400000.0</v>
      </c>
      <c r="L110" s="45">
        <v>400000.0</v>
      </c>
      <c r="M110" s="45">
        <v>320000.0</v>
      </c>
    </row>
    <row r="111">
      <c r="A111" s="68" t="s">
        <v>25</v>
      </c>
      <c r="B111" s="11">
        <f>B104*40%</f>
        <v>504000</v>
      </c>
      <c r="C111" s="11">
        <f t="shared" ref="C111:M111" si="9">C104*50%</f>
        <v>530000</v>
      </c>
      <c r="D111" s="11">
        <f t="shared" si="9"/>
        <v>527500</v>
      </c>
      <c r="E111" s="11">
        <f t="shared" si="9"/>
        <v>527500</v>
      </c>
      <c r="F111" s="11">
        <f t="shared" si="9"/>
        <v>530000</v>
      </c>
      <c r="G111" s="11">
        <f t="shared" si="9"/>
        <v>640000</v>
      </c>
      <c r="H111" s="11">
        <f t="shared" si="9"/>
        <v>532500</v>
      </c>
      <c r="I111" s="11">
        <f t="shared" si="9"/>
        <v>431500</v>
      </c>
      <c r="J111" s="11">
        <f t="shared" si="9"/>
        <v>535000</v>
      </c>
      <c r="K111" s="11">
        <f t="shared" si="9"/>
        <v>636250</v>
      </c>
      <c r="L111" s="11">
        <f t="shared" si="9"/>
        <v>517500</v>
      </c>
      <c r="M111" s="11">
        <f t="shared" si="9"/>
        <v>347500</v>
      </c>
    </row>
    <row r="112">
      <c r="A112" s="17" t="s">
        <v>100</v>
      </c>
      <c r="B112" s="20">
        <f>B108+B110-B111</f>
        <v>1122640</v>
      </c>
      <c r="C112" s="20">
        <f t="shared" ref="C112:M112" si="10">C108+C109+C110-C111</f>
        <v>1721200</v>
      </c>
      <c r="D112" s="20">
        <f t="shared" si="10"/>
        <v>1780000</v>
      </c>
      <c r="E112" s="20">
        <f t="shared" si="10"/>
        <v>2077500</v>
      </c>
      <c r="F112" s="20">
        <f t="shared" si="10"/>
        <v>2794000</v>
      </c>
      <c r="G112" s="20">
        <f t="shared" si="10"/>
        <v>2976000</v>
      </c>
      <c r="H112" s="20">
        <f t="shared" si="10"/>
        <v>3205500</v>
      </c>
      <c r="I112" s="20">
        <f t="shared" si="10"/>
        <v>3371500</v>
      </c>
      <c r="J112" s="20">
        <f t="shared" si="10"/>
        <v>2889000</v>
      </c>
      <c r="K112" s="20">
        <f t="shared" si="10"/>
        <v>2839750</v>
      </c>
      <c r="L112" s="20">
        <f t="shared" si="10"/>
        <v>3354900</v>
      </c>
      <c r="M112" s="20">
        <f t="shared" si="10"/>
        <v>2960500</v>
      </c>
      <c r="N112" s="11">
        <f>SUM(B112:M112)</f>
        <v>31092490</v>
      </c>
      <c r="O112" s="11">
        <f>N112/12</f>
        <v>2591040.833</v>
      </c>
    </row>
    <row r="114">
      <c r="A114" s="69" t="s">
        <v>166</v>
      </c>
      <c r="H114" s="20">
        <f>H96*70%</f>
        <v>231000</v>
      </c>
      <c r="I114" s="20">
        <f>SUM(I82:I84)*70%</f>
        <v>490000</v>
      </c>
      <c r="J114" s="20">
        <f>SUM(J82:J86)*70%</f>
        <v>791700</v>
      </c>
      <c r="K114" s="20">
        <f t="shared" ref="K114:M114" si="11">SUM(K77:K87)*70%</f>
        <v>1336300</v>
      </c>
      <c r="L114" s="20">
        <f t="shared" si="11"/>
        <v>1614900</v>
      </c>
      <c r="M114" s="20">
        <f t="shared" si="11"/>
        <v>2457000</v>
      </c>
      <c r="N114" s="11">
        <f t="shared" ref="N114:N115" si="13">SUM(H114:M114)</f>
        <v>6920900</v>
      </c>
      <c r="O114" s="11">
        <f t="shared" ref="O114:O115" si="14">N114/6</f>
        <v>1153483.333</v>
      </c>
    </row>
    <row r="115">
      <c r="A115" s="70" t="s">
        <v>167</v>
      </c>
      <c r="H115" s="20">
        <f>H92*70%</f>
        <v>175000</v>
      </c>
      <c r="I115" s="20">
        <f>SUM(I90:I93)*70%</f>
        <v>466200</v>
      </c>
      <c r="J115" s="20">
        <f>SUM(J89:J95)*70%</f>
        <v>854000</v>
      </c>
      <c r="K115" s="20">
        <f t="shared" ref="K115:M115" si="12">SUM(K88:K95)*70%</f>
        <v>1330000</v>
      </c>
      <c r="L115" s="20">
        <f t="shared" si="12"/>
        <v>1248800</v>
      </c>
      <c r="M115" s="20">
        <f t="shared" si="12"/>
        <v>1229200</v>
      </c>
      <c r="N115" s="11">
        <f t="shared" si="13"/>
        <v>5303200</v>
      </c>
      <c r="O115" s="11">
        <f t="shared" si="14"/>
        <v>883866.6667</v>
      </c>
    </row>
    <row r="116">
      <c r="J116" s="71">
        <f>J115+75000</f>
        <v>929000</v>
      </c>
    </row>
    <row r="119">
      <c r="A119" s="17" t="s">
        <v>168</v>
      </c>
      <c r="B119" s="43">
        <f t="shared" ref="B119:M119" si="15">B106-B112-SUM(B114:B115)</f>
        <v>7322960</v>
      </c>
      <c r="C119" s="43">
        <f t="shared" si="15"/>
        <v>8396800</v>
      </c>
      <c r="D119" s="43">
        <f t="shared" si="15"/>
        <v>7751000</v>
      </c>
      <c r="E119" s="43">
        <f t="shared" si="15"/>
        <v>7902500</v>
      </c>
      <c r="F119" s="43">
        <f t="shared" si="15"/>
        <v>8765000</v>
      </c>
      <c r="G119" s="43">
        <f t="shared" si="15"/>
        <v>8490000</v>
      </c>
      <c r="H119" s="43">
        <f t="shared" si="15"/>
        <v>8612500</v>
      </c>
      <c r="I119" s="43">
        <f t="shared" si="15"/>
        <v>9561300</v>
      </c>
      <c r="J119" s="43">
        <f t="shared" si="15"/>
        <v>9037300</v>
      </c>
      <c r="K119" s="43">
        <f t="shared" si="15"/>
        <v>8999450</v>
      </c>
      <c r="L119" s="43">
        <f t="shared" si="15"/>
        <v>10267400</v>
      </c>
      <c r="M119" s="43">
        <f t="shared" si="15"/>
        <v>9971300</v>
      </c>
      <c r="N119" s="72">
        <f>SUM(B119:M119)</f>
        <v>105077510</v>
      </c>
      <c r="O119" s="72">
        <f>N119/12</f>
        <v>8756459.167</v>
      </c>
    </row>
    <row r="120">
      <c r="N120" s="45"/>
    </row>
    <row r="121">
      <c r="N121" s="72"/>
    </row>
    <row r="122">
      <c r="D122" s="17"/>
    </row>
    <row r="123">
      <c r="D123" s="17"/>
    </row>
    <row r="124">
      <c r="L124" s="17" t="s">
        <v>101</v>
      </c>
      <c r="M124" s="11">
        <f>N97</f>
        <v>161164600</v>
      </c>
    </row>
    <row r="125">
      <c r="L125" s="17" t="s">
        <v>25</v>
      </c>
      <c r="M125" s="45">
        <f>N104</f>
        <v>12770500</v>
      </c>
      <c r="N125" s="18">
        <f>M125/M124</f>
        <v>0.07923886511</v>
      </c>
    </row>
    <row r="126">
      <c r="L126" s="17" t="s">
        <v>102</v>
      </c>
      <c r="M126" s="45">
        <f>M124-M125</f>
        <v>148394100</v>
      </c>
    </row>
    <row r="132" ht="18.75" customHeight="1"/>
    <row r="133" ht="18.75" customHeight="1"/>
    <row r="134" ht="18.75" customHeight="1"/>
    <row r="135" ht="18.75" customHeight="1"/>
    <row r="136" ht="18.75" customHeight="1"/>
    <row r="138" ht="17.25" customHeight="1"/>
    <row r="139" ht="21.0" customHeight="1"/>
    <row r="140" ht="21.0" customHeight="1"/>
    <row r="141" ht="17.25" customHeight="1"/>
    <row r="142" ht="15.0" customHeight="1">
      <c r="D142" s="73"/>
    </row>
    <row r="143">
      <c r="D143" s="73"/>
    </row>
    <row r="144" ht="18.0" customHeight="1">
      <c r="D144" s="73"/>
    </row>
    <row r="145">
      <c r="D145" s="73"/>
    </row>
    <row r="146" ht="13.5" customHeight="1">
      <c r="D146" s="73"/>
    </row>
    <row r="147">
      <c r="D147" s="73"/>
    </row>
    <row r="148" ht="18.75" customHeight="1">
      <c r="B148" s="74"/>
      <c r="D148" s="73"/>
    </row>
    <row r="149">
      <c r="B149" s="75"/>
      <c r="D149" s="73"/>
    </row>
    <row r="150" ht="15.0" customHeight="1">
      <c r="B150" s="75"/>
      <c r="D150" s="73"/>
    </row>
    <row r="151" ht="15.0" customHeight="1">
      <c r="B151" s="75"/>
      <c r="D151" s="73"/>
    </row>
    <row r="152" ht="15.0" customHeight="1">
      <c r="B152" s="75"/>
      <c r="D152" s="73"/>
    </row>
    <row r="153" ht="16.5" customHeight="1">
      <c r="B153" s="75"/>
      <c r="D153" s="73"/>
    </row>
    <row r="154">
      <c r="B154" s="74"/>
      <c r="D154" s="73"/>
    </row>
    <row r="155">
      <c r="A155" s="48"/>
      <c r="B155" s="76"/>
      <c r="D155" s="73"/>
    </row>
    <row r="156">
      <c r="A156" s="48"/>
      <c r="B156" s="76"/>
      <c r="D156" s="73"/>
    </row>
    <row r="157" ht="20.25" customHeight="1">
      <c r="B157" s="74"/>
    </row>
    <row r="158" ht="20.25" customHeight="1">
      <c r="B158" s="74"/>
      <c r="D158" s="46"/>
    </row>
    <row r="159">
      <c r="B159" s="76"/>
    </row>
    <row r="160">
      <c r="B160" s="74"/>
    </row>
    <row r="161">
      <c r="B161" s="77"/>
    </row>
    <row r="162">
      <c r="A162" s="78"/>
      <c r="B162" s="77"/>
    </row>
    <row r="163">
      <c r="B163" s="76"/>
    </row>
    <row r="164">
      <c r="B164" s="76"/>
    </row>
    <row r="165">
      <c r="A165" s="49"/>
    </row>
    <row r="167">
      <c r="B167" s="79"/>
    </row>
    <row r="168">
      <c r="B168" s="79"/>
    </row>
    <row r="169">
      <c r="B169" s="79"/>
    </row>
    <row r="170">
      <c r="B170" s="79"/>
    </row>
    <row r="171">
      <c r="A171" s="78"/>
      <c r="B171" s="79"/>
    </row>
    <row r="172">
      <c r="A172" s="49"/>
    </row>
    <row r="173">
      <c r="A173" s="49"/>
      <c r="B173" s="17"/>
    </row>
    <row r="174">
      <c r="A174" s="49"/>
      <c r="B174" s="17"/>
    </row>
    <row r="175">
      <c r="A175" s="49"/>
      <c r="B175" s="17"/>
    </row>
    <row r="176">
      <c r="A176" s="49"/>
      <c r="B176" s="17"/>
    </row>
    <row r="177">
      <c r="A177" s="49"/>
      <c r="B177" s="17"/>
    </row>
    <row r="178">
      <c r="A178" s="49"/>
      <c r="B178" s="17"/>
    </row>
    <row r="179">
      <c r="A179" s="49"/>
      <c r="B179" s="17"/>
    </row>
    <row r="180">
      <c r="A180" s="49"/>
      <c r="B180" s="17"/>
    </row>
    <row r="181">
      <c r="A181" s="49"/>
      <c r="B181" s="17"/>
    </row>
    <row r="182">
      <c r="A182" s="49"/>
      <c r="B182" s="17"/>
    </row>
    <row r="183">
      <c r="A183" s="49"/>
      <c r="B183" s="17"/>
    </row>
    <row r="184">
      <c r="A184" s="49"/>
      <c r="B184" s="17"/>
    </row>
    <row r="185">
      <c r="A185" s="49"/>
      <c r="B185" s="17"/>
    </row>
    <row r="186">
      <c r="A186" s="49"/>
      <c r="B186" s="17"/>
    </row>
    <row r="187">
      <c r="A187" s="49"/>
      <c r="B187" s="17"/>
    </row>
    <row r="188">
      <c r="A188" s="49"/>
      <c r="B188" s="17"/>
    </row>
    <row r="189">
      <c r="A189" s="49"/>
      <c r="B189" s="17"/>
    </row>
    <row r="190">
      <c r="A190" s="49"/>
      <c r="B190" s="17"/>
    </row>
    <row r="191">
      <c r="A191" s="49"/>
      <c r="B191" s="17"/>
    </row>
    <row r="192">
      <c r="A192" s="49"/>
      <c r="B192" s="17"/>
    </row>
    <row r="193">
      <c r="A193" s="49"/>
      <c r="B193" s="17"/>
    </row>
    <row r="194">
      <c r="A194" s="49"/>
      <c r="B194" s="17"/>
    </row>
    <row r="195">
      <c r="A195" s="49"/>
      <c r="B195" s="17"/>
    </row>
    <row r="196">
      <c r="A196" s="49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5">
      <c r="E205" s="19"/>
    </row>
    <row r="208">
      <c r="A208" s="17"/>
      <c r="B208" s="17"/>
      <c r="C208" s="19"/>
    </row>
    <row r="209">
      <c r="A209" s="17"/>
      <c r="B209" s="17"/>
      <c r="C209" s="19"/>
    </row>
    <row r="211">
      <c r="D211" s="19"/>
      <c r="E211" s="17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1.63"/>
    <col customWidth="1" min="3" max="3" width="9.88"/>
    <col customWidth="1" min="4" max="4" width="11.25"/>
    <col customWidth="1" min="5" max="5" width="10.13"/>
    <col customWidth="1" min="6" max="6" width="10.5"/>
    <col customWidth="1" min="7" max="7" width="10.75"/>
    <col customWidth="1" min="8" max="8" width="10.63"/>
    <col customWidth="1" min="9" max="10" width="11.5"/>
    <col customWidth="1" min="11" max="11" width="10.13"/>
    <col customWidth="1" min="12" max="12" width="10.88"/>
    <col customWidth="1" min="13" max="13" width="12.25"/>
  </cols>
  <sheetData>
    <row r="1">
      <c r="A1" s="32"/>
      <c r="B1" s="32"/>
      <c r="C1" s="33"/>
      <c r="D1" s="33"/>
      <c r="E1" s="32"/>
      <c r="F1" s="32"/>
      <c r="G1" s="32"/>
      <c r="H1" s="32"/>
      <c r="I1" s="32"/>
      <c r="J1" s="32"/>
      <c r="K1" s="32"/>
      <c r="L1" s="32"/>
      <c r="M1" s="32"/>
    </row>
    <row r="2">
      <c r="A2" s="32"/>
      <c r="B2" s="32"/>
      <c r="C2" s="32"/>
      <c r="D2" s="34" t="s">
        <v>169</v>
      </c>
      <c r="E2" s="32"/>
      <c r="F2" s="32"/>
      <c r="G2" s="32"/>
      <c r="H2" s="32"/>
      <c r="I2" s="32"/>
      <c r="J2" s="32"/>
      <c r="K2" s="32"/>
      <c r="L2" s="32"/>
      <c r="M2" s="32"/>
    </row>
    <row r="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>
      <c r="A4" s="3" t="s">
        <v>1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6</v>
      </c>
    </row>
    <row r="5">
      <c r="A5" s="80" t="s">
        <v>84</v>
      </c>
      <c r="B5" s="81">
        <v>380000.0</v>
      </c>
      <c r="C5" s="81">
        <v>380000.0</v>
      </c>
      <c r="D5" s="81">
        <v>380000.0</v>
      </c>
      <c r="E5" s="81">
        <v>380000.0</v>
      </c>
      <c r="F5" s="81">
        <v>380000.0</v>
      </c>
      <c r="G5" s="81">
        <v>380000.0</v>
      </c>
      <c r="H5" s="81">
        <v>380000.0</v>
      </c>
      <c r="I5" s="81">
        <v>380000.0</v>
      </c>
      <c r="J5" s="81">
        <v>380000.0</v>
      </c>
      <c r="K5" s="81">
        <v>380000.0</v>
      </c>
      <c r="L5" s="81">
        <v>380000.0</v>
      </c>
      <c r="M5" s="81">
        <v>380000.0</v>
      </c>
    </row>
    <row r="6">
      <c r="A6" s="12" t="s">
        <v>106</v>
      </c>
      <c r="B6" s="81">
        <v>266000.0</v>
      </c>
      <c r="C6" s="81">
        <v>380000.0</v>
      </c>
      <c r="D6" s="81">
        <v>380000.0</v>
      </c>
      <c r="E6" s="81">
        <v>380000.0</v>
      </c>
      <c r="F6" s="82">
        <v>380000.0</v>
      </c>
      <c r="G6" s="82">
        <v>380000.0</v>
      </c>
      <c r="H6" s="81">
        <v>380000.0</v>
      </c>
      <c r="I6" s="82">
        <v>380000.0</v>
      </c>
      <c r="J6" s="81">
        <v>380000.0</v>
      </c>
      <c r="K6" s="81">
        <v>380000.0</v>
      </c>
      <c r="L6" s="83"/>
      <c r="M6" s="83"/>
    </row>
    <row r="7">
      <c r="A7" s="80" t="s">
        <v>65</v>
      </c>
      <c r="B7" s="81">
        <v>380000.0</v>
      </c>
      <c r="C7" s="81">
        <v>380000.0</v>
      </c>
      <c r="D7" s="81">
        <v>380000.0</v>
      </c>
      <c r="E7" s="81">
        <v>380000.0</v>
      </c>
      <c r="F7" s="81">
        <v>380000.0</v>
      </c>
      <c r="G7" s="81">
        <v>380000.0</v>
      </c>
      <c r="H7" s="81">
        <v>380000.0</v>
      </c>
      <c r="I7" s="81">
        <v>380000.0</v>
      </c>
      <c r="J7" s="81">
        <v>380000.0</v>
      </c>
      <c r="K7" s="81">
        <v>380000.0</v>
      </c>
      <c r="L7" s="81">
        <v>380000.0</v>
      </c>
      <c r="M7" s="81">
        <v>380000.0</v>
      </c>
    </row>
    <row r="8">
      <c r="A8" s="12" t="s">
        <v>50</v>
      </c>
      <c r="B8" s="81">
        <v>380000.0</v>
      </c>
      <c r="C8" s="81">
        <v>380000.0</v>
      </c>
      <c r="D8" s="81">
        <v>380000.0</v>
      </c>
      <c r="E8" s="81" t="s">
        <v>170</v>
      </c>
      <c r="F8" s="81" t="s">
        <v>170</v>
      </c>
      <c r="G8" s="81" t="s">
        <v>171</v>
      </c>
      <c r="H8" s="81">
        <v>190000.0</v>
      </c>
      <c r="I8" s="83"/>
      <c r="J8" s="83"/>
      <c r="K8" s="83"/>
      <c r="L8" s="83"/>
      <c r="M8" s="83"/>
    </row>
    <row r="9">
      <c r="A9" s="80" t="s">
        <v>13</v>
      </c>
      <c r="B9" s="81">
        <v>380000.0</v>
      </c>
      <c r="C9" s="81">
        <v>380000.0</v>
      </c>
      <c r="D9" s="81">
        <v>380000.0</v>
      </c>
      <c r="E9" s="81">
        <v>380000.0</v>
      </c>
      <c r="F9" s="81">
        <v>380000.0</v>
      </c>
      <c r="G9" s="81">
        <v>380000.0</v>
      </c>
      <c r="H9" s="81">
        <v>380000.0</v>
      </c>
      <c r="I9" s="81">
        <v>380000.0</v>
      </c>
      <c r="J9" s="81">
        <v>380000.0</v>
      </c>
      <c r="K9" s="81">
        <v>380000.0</v>
      </c>
      <c r="L9" s="81">
        <v>380000.0</v>
      </c>
      <c r="M9" s="81">
        <v>380000.0</v>
      </c>
    </row>
    <row r="10">
      <c r="A10" s="12" t="s">
        <v>112</v>
      </c>
      <c r="B10" s="81">
        <v>380000.0</v>
      </c>
      <c r="C10" s="81">
        <v>380000.0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</row>
    <row r="11">
      <c r="A11" s="80" t="s">
        <v>59</v>
      </c>
      <c r="B11" s="83"/>
      <c r="C11" s="81">
        <v>380000.0</v>
      </c>
      <c r="D11" s="81">
        <v>380000.0</v>
      </c>
      <c r="E11" s="81">
        <v>380000.0</v>
      </c>
      <c r="F11" s="81">
        <v>380000.0</v>
      </c>
      <c r="G11" s="81">
        <v>380000.0</v>
      </c>
      <c r="H11" s="81">
        <v>380000.0</v>
      </c>
      <c r="I11" s="81">
        <v>380000.0</v>
      </c>
      <c r="J11" s="81">
        <v>380000.0</v>
      </c>
      <c r="K11" s="81">
        <v>380000.0</v>
      </c>
      <c r="L11" s="81">
        <v>380000.0</v>
      </c>
      <c r="M11" s="81">
        <v>380000.0</v>
      </c>
    </row>
    <row r="12">
      <c r="A12" s="12" t="s">
        <v>69</v>
      </c>
      <c r="B12" s="81">
        <v>2100000.0</v>
      </c>
      <c r="C12" s="81" t="s">
        <v>172</v>
      </c>
      <c r="D12" s="81" t="s">
        <v>172</v>
      </c>
      <c r="E12" s="81" t="s">
        <v>172</v>
      </c>
      <c r="F12" s="81" t="s">
        <v>172</v>
      </c>
      <c r="G12" s="81" t="s">
        <v>172</v>
      </c>
      <c r="H12" s="83"/>
      <c r="I12" s="83"/>
      <c r="J12" s="83"/>
      <c r="K12" s="83"/>
      <c r="L12" s="83"/>
      <c r="M12" s="83"/>
    </row>
    <row r="13">
      <c r="A13" s="12" t="s">
        <v>51</v>
      </c>
      <c r="B13" s="81">
        <v>4000000.0</v>
      </c>
      <c r="C13" s="81" t="s">
        <v>173</v>
      </c>
      <c r="D13" s="81" t="s">
        <v>173</v>
      </c>
      <c r="E13" s="81" t="s">
        <v>173</v>
      </c>
      <c r="F13" s="81" t="s">
        <v>173</v>
      </c>
      <c r="G13" s="81" t="s">
        <v>173</v>
      </c>
      <c r="H13" s="81" t="s">
        <v>173</v>
      </c>
      <c r="I13" s="81" t="s">
        <v>173</v>
      </c>
      <c r="J13" s="81" t="s">
        <v>173</v>
      </c>
      <c r="K13" s="81" t="s">
        <v>173</v>
      </c>
      <c r="L13" s="81" t="s">
        <v>173</v>
      </c>
      <c r="M13" s="81" t="s">
        <v>173</v>
      </c>
    </row>
    <row r="14">
      <c r="A14" s="12" t="s">
        <v>115</v>
      </c>
      <c r="B14" s="81">
        <v>380000.0</v>
      </c>
      <c r="C14" s="81">
        <v>380000.0</v>
      </c>
      <c r="D14" s="81">
        <v>380000.0</v>
      </c>
      <c r="E14" s="83" t="s">
        <v>174</v>
      </c>
      <c r="F14" s="81">
        <v>380000.0</v>
      </c>
      <c r="G14" s="81">
        <v>380000.0</v>
      </c>
      <c r="H14" s="81">
        <v>380000.0</v>
      </c>
      <c r="I14" s="81">
        <v>380000.0</v>
      </c>
      <c r="J14" s="81">
        <v>380000.0</v>
      </c>
      <c r="K14" s="81">
        <v>380000.0</v>
      </c>
      <c r="L14" s="81">
        <v>380000.0</v>
      </c>
      <c r="M14" s="83"/>
    </row>
    <row r="15">
      <c r="A15" s="15" t="s">
        <v>117</v>
      </c>
      <c r="B15" s="81">
        <v>380000.0</v>
      </c>
      <c r="C15" s="81">
        <v>380000.0</v>
      </c>
      <c r="D15" s="81">
        <v>380000.0</v>
      </c>
      <c r="E15" s="81">
        <v>380000.0</v>
      </c>
      <c r="F15" s="81">
        <v>380000.0</v>
      </c>
      <c r="G15" s="81">
        <v>380000.0</v>
      </c>
      <c r="H15" s="83"/>
      <c r="I15" s="83"/>
      <c r="J15" s="82">
        <v>380000.0</v>
      </c>
      <c r="K15" s="81">
        <v>380000.0</v>
      </c>
      <c r="L15" s="81">
        <v>380000.0</v>
      </c>
      <c r="M15" s="81">
        <v>380000.0</v>
      </c>
    </row>
    <row r="16">
      <c r="A16" s="12" t="s">
        <v>118</v>
      </c>
      <c r="B16" s="83"/>
      <c r="C16" s="81">
        <v>190000.0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>
      <c r="A17" s="9" t="s">
        <v>119</v>
      </c>
      <c r="B17" s="84">
        <v>100000.0</v>
      </c>
      <c r="C17" s="84">
        <v>200000.0</v>
      </c>
      <c r="D17" s="84">
        <v>0.0</v>
      </c>
      <c r="E17" s="84">
        <v>200000.0</v>
      </c>
      <c r="F17" s="84">
        <v>0.0</v>
      </c>
      <c r="G17" s="84">
        <v>200000.0</v>
      </c>
      <c r="H17" s="84">
        <v>0.0</v>
      </c>
      <c r="I17" s="84">
        <v>200000.0</v>
      </c>
      <c r="J17" s="84">
        <v>0.0</v>
      </c>
      <c r="K17" s="84">
        <v>200000.0</v>
      </c>
      <c r="L17" s="84">
        <v>0.0</v>
      </c>
      <c r="M17" s="84">
        <v>100000.0</v>
      </c>
    </row>
    <row r="18">
      <c r="A18" s="9" t="s">
        <v>104</v>
      </c>
      <c r="B18" s="84">
        <v>380000.0</v>
      </c>
      <c r="C18" s="84">
        <v>380000.0</v>
      </c>
      <c r="D18" s="84">
        <v>380000.0</v>
      </c>
      <c r="E18" s="84">
        <v>380000.0</v>
      </c>
      <c r="F18" s="84">
        <v>380000.0</v>
      </c>
      <c r="G18" s="84">
        <v>380000.0</v>
      </c>
      <c r="H18" s="84">
        <v>380000.0</v>
      </c>
      <c r="I18" s="84">
        <v>380000.0</v>
      </c>
      <c r="J18" s="84">
        <v>380000.0</v>
      </c>
      <c r="K18" s="84">
        <v>380000.0</v>
      </c>
      <c r="L18" s="84">
        <v>380000.0</v>
      </c>
      <c r="M18" s="84">
        <v>380000.0</v>
      </c>
    </row>
    <row r="19">
      <c r="A19" s="9" t="s">
        <v>175</v>
      </c>
      <c r="B19" s="83"/>
      <c r="C19" s="83"/>
      <c r="D19" s="83"/>
      <c r="E19" s="84">
        <v>100000.0</v>
      </c>
      <c r="F19" s="84">
        <v>150000.0</v>
      </c>
      <c r="G19" s="84">
        <v>150000.0</v>
      </c>
      <c r="H19" s="84">
        <v>150000.0</v>
      </c>
      <c r="I19" s="84">
        <v>150000.0</v>
      </c>
      <c r="J19" s="84">
        <v>150000.0</v>
      </c>
      <c r="K19" s="84">
        <v>300000.0</v>
      </c>
      <c r="L19" s="84">
        <v>0.0</v>
      </c>
      <c r="M19" s="84">
        <v>150000.0</v>
      </c>
    </row>
    <row r="20">
      <c r="A20" s="12" t="s">
        <v>176</v>
      </c>
      <c r="B20" s="83"/>
      <c r="C20" s="83"/>
      <c r="D20" s="83"/>
      <c r="E20" s="83"/>
      <c r="F20" s="83"/>
      <c r="G20" s="83"/>
      <c r="H20" s="83"/>
      <c r="I20" s="83"/>
      <c r="J20" s="84">
        <v>280000.0</v>
      </c>
      <c r="K20" s="84">
        <v>280000.0</v>
      </c>
      <c r="L20" s="84">
        <v>280000.0</v>
      </c>
      <c r="M20" s="83"/>
    </row>
    <row r="21">
      <c r="A21" s="9" t="s">
        <v>146</v>
      </c>
      <c r="B21" s="83"/>
      <c r="C21" s="83"/>
      <c r="D21" s="83"/>
      <c r="E21" s="83"/>
      <c r="F21" s="83"/>
      <c r="G21" s="84">
        <v>380000.0</v>
      </c>
      <c r="H21" s="84">
        <v>380000.0</v>
      </c>
      <c r="I21" s="84">
        <v>380000.0</v>
      </c>
      <c r="J21" s="84">
        <v>190000.0</v>
      </c>
      <c r="K21" s="84">
        <v>380000.0</v>
      </c>
      <c r="L21" s="84">
        <v>380000.0</v>
      </c>
      <c r="M21" s="84">
        <v>280000.0</v>
      </c>
    </row>
    <row r="22">
      <c r="A22" s="12" t="s">
        <v>177</v>
      </c>
      <c r="B22" s="83"/>
      <c r="C22" s="83"/>
      <c r="D22" s="83"/>
      <c r="E22" s="83"/>
      <c r="F22" s="83"/>
      <c r="G22" s="83"/>
      <c r="H22" s="83"/>
      <c r="I22" s="84">
        <v>200000.0</v>
      </c>
      <c r="J22" s="83"/>
      <c r="K22" s="83"/>
      <c r="L22" s="83"/>
      <c r="M22" s="83"/>
    </row>
    <row r="23">
      <c r="A23" s="9" t="s">
        <v>178</v>
      </c>
      <c r="B23" s="83"/>
      <c r="C23" s="83"/>
      <c r="D23" s="83"/>
      <c r="E23" s="83"/>
      <c r="F23" s="83"/>
      <c r="G23" s="83"/>
      <c r="H23" s="83"/>
      <c r="I23" s="84">
        <v>125000.0</v>
      </c>
      <c r="J23" s="84">
        <v>250000.0</v>
      </c>
      <c r="K23" s="84">
        <v>250000.0</v>
      </c>
      <c r="L23" s="84">
        <v>250000.0</v>
      </c>
      <c r="M23" s="84">
        <v>250000.0</v>
      </c>
    </row>
    <row r="24">
      <c r="A24" s="9" t="s">
        <v>179</v>
      </c>
      <c r="B24" s="84">
        <v>380000.0</v>
      </c>
      <c r="C24" s="84">
        <v>380000.0</v>
      </c>
      <c r="D24" s="84">
        <v>380000.0</v>
      </c>
      <c r="E24" s="84">
        <v>380000.0</v>
      </c>
      <c r="F24" s="84">
        <v>380000.0</v>
      </c>
      <c r="G24" s="84">
        <v>380000.0</v>
      </c>
      <c r="H24" s="84">
        <v>380000.0</v>
      </c>
      <c r="I24" s="84">
        <v>380000.0</v>
      </c>
      <c r="J24" s="84">
        <v>380000.0</v>
      </c>
      <c r="K24" s="84">
        <v>380000.0</v>
      </c>
      <c r="L24" s="84">
        <v>380000.0</v>
      </c>
      <c r="M24" s="84">
        <v>380000.0</v>
      </c>
    </row>
    <row r="25">
      <c r="A25" s="9" t="s">
        <v>180</v>
      </c>
      <c r="B25" s="83"/>
      <c r="C25" s="83"/>
      <c r="D25" s="83"/>
      <c r="E25" s="83"/>
      <c r="F25" s="83"/>
      <c r="G25" s="83"/>
      <c r="H25" s="83"/>
      <c r="I25" s="83"/>
      <c r="J25" s="83"/>
      <c r="K25" s="84">
        <v>120000.0</v>
      </c>
      <c r="L25" s="84">
        <v>120000.0</v>
      </c>
      <c r="M25" s="84">
        <v>120000.0</v>
      </c>
    </row>
    <row r="26">
      <c r="A26" s="12" t="s">
        <v>181</v>
      </c>
      <c r="B26" s="83"/>
      <c r="C26" s="84">
        <v>350000.0</v>
      </c>
      <c r="D26" s="84">
        <v>350000.0</v>
      </c>
      <c r="E26" s="84">
        <v>175000.0</v>
      </c>
      <c r="F26" s="83"/>
      <c r="G26" s="83"/>
      <c r="H26" s="83"/>
      <c r="I26" s="83"/>
      <c r="J26" s="83"/>
      <c r="K26" s="83"/>
      <c r="L26" s="83"/>
      <c r="M26" s="83"/>
    </row>
    <row r="27">
      <c r="A27" s="9" t="s">
        <v>182</v>
      </c>
      <c r="B27" s="83"/>
      <c r="C27" s="83"/>
      <c r="D27" s="83"/>
      <c r="E27" s="83"/>
      <c r="F27" s="83"/>
      <c r="G27" s="84">
        <v>160000.0</v>
      </c>
      <c r="H27" s="84">
        <v>160000.0</v>
      </c>
      <c r="I27" s="84">
        <v>160000.0</v>
      </c>
      <c r="J27" s="84">
        <v>160000.0</v>
      </c>
      <c r="K27" s="84">
        <v>160000.0</v>
      </c>
      <c r="L27" s="84">
        <v>160000.0</v>
      </c>
      <c r="M27" s="84">
        <v>160000.0</v>
      </c>
    </row>
    <row r="28">
      <c r="A28" s="12" t="s">
        <v>183</v>
      </c>
      <c r="B28" s="83"/>
      <c r="C28" s="83"/>
      <c r="D28" s="83"/>
      <c r="E28" s="83"/>
      <c r="F28" s="83"/>
      <c r="G28" s="83"/>
      <c r="H28" s="83"/>
      <c r="I28" s="83"/>
      <c r="J28" s="84">
        <v>380000.0</v>
      </c>
      <c r="K28" s="84">
        <v>380000.0</v>
      </c>
      <c r="L28" s="84">
        <v>380000.0</v>
      </c>
      <c r="M28" s="83"/>
    </row>
    <row r="29">
      <c r="A29" s="9" t="s">
        <v>184</v>
      </c>
      <c r="B29" s="83"/>
      <c r="C29" s="83"/>
      <c r="D29" s="83"/>
      <c r="E29" s="83"/>
      <c r="F29" s="83"/>
      <c r="G29" s="83"/>
      <c r="H29" s="83"/>
      <c r="I29" s="83"/>
      <c r="J29" s="83"/>
      <c r="K29" s="84">
        <v>250000.0</v>
      </c>
      <c r="L29" s="84">
        <v>250000.0</v>
      </c>
      <c r="M29" s="84">
        <v>160000.0</v>
      </c>
    </row>
    <row r="30">
      <c r="A30" s="9" t="s">
        <v>123</v>
      </c>
      <c r="B30" s="84">
        <v>280000.0</v>
      </c>
      <c r="C30" s="84">
        <v>280000.0</v>
      </c>
      <c r="D30" s="84">
        <v>280000.0</v>
      </c>
      <c r="E30" s="84">
        <v>280000.0</v>
      </c>
      <c r="F30" s="84">
        <v>280000.0</v>
      </c>
      <c r="G30" s="84">
        <v>280000.0</v>
      </c>
      <c r="H30" s="84">
        <v>280000.0</v>
      </c>
      <c r="I30" s="84">
        <v>280000.0</v>
      </c>
      <c r="J30" s="84">
        <v>280000.0</v>
      </c>
      <c r="K30" s="84">
        <v>280000.0</v>
      </c>
      <c r="L30" s="84">
        <v>280000.0</v>
      </c>
      <c r="M30" s="84">
        <v>280000.0</v>
      </c>
    </row>
    <row r="31">
      <c r="A31" s="12" t="s">
        <v>185</v>
      </c>
      <c r="B31" s="83"/>
      <c r="C31" s="83"/>
      <c r="D31" s="83"/>
      <c r="E31" s="83"/>
      <c r="F31" s="84">
        <v>150000.0</v>
      </c>
      <c r="G31" s="84">
        <v>150000.0</v>
      </c>
      <c r="H31" s="84">
        <v>150000.0</v>
      </c>
      <c r="I31" s="84">
        <v>150000.0</v>
      </c>
      <c r="J31" s="83"/>
      <c r="K31" s="83"/>
      <c r="L31" s="83"/>
      <c r="M31" s="83"/>
    </row>
    <row r="32">
      <c r="A32" s="9" t="s">
        <v>148</v>
      </c>
      <c r="B32" s="83"/>
      <c r="C32" s="83"/>
      <c r="D32" s="83"/>
      <c r="E32" s="83"/>
      <c r="F32" s="83"/>
      <c r="G32" s="84">
        <v>380000.0</v>
      </c>
      <c r="H32" s="84">
        <v>380000.0</v>
      </c>
      <c r="I32" s="84">
        <v>380000.0</v>
      </c>
      <c r="J32" s="84">
        <v>380000.0</v>
      </c>
      <c r="K32" s="84">
        <v>380000.0</v>
      </c>
      <c r="L32" s="84">
        <v>380000.0</v>
      </c>
      <c r="M32" s="84">
        <v>380000.0</v>
      </c>
    </row>
    <row r="33">
      <c r="A33" s="12" t="s">
        <v>186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4">
        <v>266000.0</v>
      </c>
      <c r="M33" s="84">
        <v>126600.0</v>
      </c>
    </row>
    <row r="34">
      <c r="A34" s="12" t="s">
        <v>56</v>
      </c>
      <c r="B34" s="84">
        <v>800000.0</v>
      </c>
      <c r="C34" s="84">
        <v>0.0</v>
      </c>
      <c r="D34" s="84">
        <v>0.0</v>
      </c>
      <c r="E34" s="83"/>
      <c r="F34" s="84">
        <v>800000.0</v>
      </c>
      <c r="G34" s="84">
        <v>0.0</v>
      </c>
      <c r="H34" s="84">
        <v>0.0</v>
      </c>
      <c r="I34" s="83"/>
      <c r="J34" s="83"/>
      <c r="K34" s="83"/>
      <c r="L34" s="83"/>
      <c r="M34" s="83"/>
    </row>
    <row r="35">
      <c r="A35" s="9" t="s">
        <v>187</v>
      </c>
      <c r="B35" s="83"/>
      <c r="C35" s="83"/>
      <c r="D35" s="83"/>
      <c r="E35" s="84">
        <v>100000.0</v>
      </c>
      <c r="F35" s="84">
        <v>150000.0</v>
      </c>
      <c r="G35" s="84">
        <v>150000.0</v>
      </c>
      <c r="H35" s="84">
        <v>150000.0</v>
      </c>
      <c r="I35" s="84">
        <v>200000.0</v>
      </c>
      <c r="J35" s="84">
        <v>200000.0</v>
      </c>
      <c r="K35" s="84">
        <v>200000.0</v>
      </c>
      <c r="L35" s="84">
        <v>200000.0</v>
      </c>
      <c r="M35" s="84">
        <v>200000.0</v>
      </c>
    </row>
    <row r="36">
      <c r="A36" s="9" t="s">
        <v>188</v>
      </c>
      <c r="B36" s="83"/>
      <c r="C36" s="83"/>
      <c r="D36" s="83"/>
      <c r="E36" s="83"/>
      <c r="F36" s="83"/>
      <c r="G36" s="83"/>
      <c r="H36" s="83"/>
      <c r="I36" s="83"/>
      <c r="J36" s="83"/>
      <c r="K36" s="84">
        <v>180000.0</v>
      </c>
      <c r="L36" s="84">
        <v>180000.0</v>
      </c>
      <c r="M36" s="84">
        <v>180000.0</v>
      </c>
    </row>
    <row r="37">
      <c r="A37" s="9" t="s">
        <v>189</v>
      </c>
      <c r="B37" s="83"/>
      <c r="C37" s="83"/>
      <c r="D37" s="83"/>
      <c r="E37" s="83"/>
      <c r="F37" s="83"/>
      <c r="G37" s="83"/>
      <c r="H37" s="83"/>
      <c r="I37" s="83"/>
      <c r="J37" s="84">
        <v>205000.0</v>
      </c>
      <c r="K37" s="84">
        <v>280000.0</v>
      </c>
      <c r="L37" s="84">
        <v>280000.0</v>
      </c>
      <c r="M37" s="84">
        <v>280000.0</v>
      </c>
    </row>
    <row r="38">
      <c r="A38" s="12" t="s">
        <v>190</v>
      </c>
      <c r="B38" s="83"/>
      <c r="C38" s="83"/>
      <c r="D38" s="83"/>
      <c r="E38" s="83"/>
      <c r="F38" s="83"/>
      <c r="G38" s="83"/>
      <c r="H38" s="83"/>
      <c r="I38" s="83"/>
      <c r="J38" s="83"/>
      <c r="K38" s="84">
        <v>200000.0</v>
      </c>
      <c r="L38" s="83"/>
      <c r="M38" s="83"/>
    </row>
    <row r="39">
      <c r="A39" s="9" t="s">
        <v>191</v>
      </c>
      <c r="B39" s="83"/>
      <c r="C39" s="84">
        <v>150000.0</v>
      </c>
      <c r="D39" s="84">
        <v>150000.0</v>
      </c>
      <c r="E39" s="84">
        <v>150000.0</v>
      </c>
      <c r="F39" s="84">
        <v>150000.0</v>
      </c>
      <c r="G39" s="84">
        <v>150000.0</v>
      </c>
      <c r="H39" s="84">
        <v>280000.0</v>
      </c>
      <c r="I39" s="84">
        <v>280000.0</v>
      </c>
      <c r="J39" s="84">
        <v>280000.0</v>
      </c>
      <c r="K39" s="84">
        <v>280000.0</v>
      </c>
      <c r="L39" s="84">
        <v>280000.0</v>
      </c>
      <c r="M39" s="84">
        <v>280000.0</v>
      </c>
    </row>
    <row r="40">
      <c r="A40" s="12" t="s">
        <v>192</v>
      </c>
      <c r="B40" s="83"/>
      <c r="C40" s="83"/>
      <c r="D40" s="83"/>
      <c r="E40" s="83"/>
      <c r="F40" s="83"/>
      <c r="G40" s="83"/>
      <c r="H40" s="83"/>
      <c r="I40" s="83"/>
      <c r="J40" s="83"/>
      <c r="K40" s="84">
        <v>180000.0</v>
      </c>
      <c r="L40" s="83"/>
      <c r="M40" s="83"/>
    </row>
    <row r="41">
      <c r="A41" s="12" t="s">
        <v>193</v>
      </c>
      <c r="B41" s="83"/>
      <c r="C41" s="83"/>
      <c r="D41" s="83"/>
      <c r="E41" s="83"/>
      <c r="F41" s="83"/>
      <c r="G41" s="83"/>
      <c r="H41" s="83"/>
      <c r="I41" s="83"/>
      <c r="J41" s="83"/>
      <c r="K41" s="84">
        <v>180000.0</v>
      </c>
      <c r="L41" s="84">
        <v>180000.0</v>
      </c>
      <c r="M41" s="83"/>
    </row>
    <row r="42">
      <c r="A42" s="9" t="s">
        <v>194</v>
      </c>
      <c r="B42" s="83"/>
      <c r="C42" s="83"/>
      <c r="D42" s="83"/>
      <c r="E42" s="83"/>
      <c r="F42" s="83"/>
      <c r="G42" s="83"/>
      <c r="H42" s="83"/>
      <c r="I42" s="83"/>
      <c r="J42" s="83"/>
      <c r="K42" s="84">
        <v>186000.0</v>
      </c>
      <c r="L42" s="84">
        <v>280000.0</v>
      </c>
      <c r="M42" s="84">
        <v>280000.0</v>
      </c>
    </row>
    <row r="43">
      <c r="A43" s="9" t="s">
        <v>195</v>
      </c>
      <c r="B43" s="83"/>
      <c r="C43" s="84">
        <v>150000.0</v>
      </c>
      <c r="D43" s="84">
        <v>150000.0</v>
      </c>
      <c r="E43" s="84">
        <v>150000.0</v>
      </c>
      <c r="F43" s="84">
        <v>150000.0</v>
      </c>
      <c r="G43" s="84">
        <v>150000.0</v>
      </c>
      <c r="H43" s="84">
        <v>150000.0</v>
      </c>
      <c r="I43" s="84">
        <v>150000.0</v>
      </c>
      <c r="J43" s="84">
        <v>150000.0</v>
      </c>
      <c r="K43" s="84">
        <v>150000.0</v>
      </c>
      <c r="L43" s="84">
        <v>150000.0</v>
      </c>
      <c r="M43" s="84">
        <v>150000.0</v>
      </c>
    </row>
    <row r="44">
      <c r="A44" s="9" t="s">
        <v>196</v>
      </c>
      <c r="B44" s="83"/>
      <c r="C44" s="83"/>
      <c r="D44" s="83"/>
      <c r="E44" s="83"/>
      <c r="F44" s="83"/>
      <c r="G44" s="83"/>
      <c r="H44" s="83"/>
      <c r="I44" s="83"/>
      <c r="J44" s="84">
        <v>280000.0</v>
      </c>
      <c r="K44" s="84">
        <v>280000.0</v>
      </c>
      <c r="L44" s="84">
        <v>280000.0</v>
      </c>
      <c r="M44" s="84">
        <v>280000.0</v>
      </c>
    </row>
    <row r="45">
      <c r="A45" s="9" t="s">
        <v>197</v>
      </c>
      <c r="B45" s="83"/>
      <c r="C45" s="83"/>
      <c r="D45" s="84">
        <v>60000.0</v>
      </c>
      <c r="E45" s="84">
        <v>150000.0</v>
      </c>
      <c r="F45" s="84">
        <v>150000.0</v>
      </c>
      <c r="G45" s="84">
        <v>150000.0</v>
      </c>
      <c r="H45" s="84">
        <v>150000.0</v>
      </c>
      <c r="I45" s="83"/>
      <c r="J45" s="83"/>
      <c r="K45" s="84">
        <v>150000.0</v>
      </c>
      <c r="L45" s="84">
        <v>150000.0</v>
      </c>
      <c r="M45" s="84">
        <v>150000.0</v>
      </c>
    </row>
    <row r="46">
      <c r="A46" s="12" t="s">
        <v>198</v>
      </c>
      <c r="B46" s="84">
        <v>266000.0</v>
      </c>
      <c r="C46" s="84">
        <v>380000.0</v>
      </c>
      <c r="D46" s="84">
        <v>190000.0</v>
      </c>
      <c r="E46" s="84">
        <v>380000.0</v>
      </c>
      <c r="F46" s="84">
        <v>280000.0</v>
      </c>
      <c r="G46" s="83"/>
      <c r="H46" s="83"/>
      <c r="I46" s="84">
        <v>280000.0</v>
      </c>
      <c r="J46" s="84">
        <v>280000.0</v>
      </c>
      <c r="K46" s="84">
        <v>280000.0</v>
      </c>
      <c r="L46" s="83"/>
      <c r="M46" s="83"/>
    </row>
    <row r="47">
      <c r="A47" s="9" t="s">
        <v>154</v>
      </c>
      <c r="B47" s="83"/>
      <c r="C47" s="83"/>
      <c r="D47" s="83"/>
      <c r="E47" s="83"/>
      <c r="F47" s="83"/>
      <c r="G47" s="84">
        <v>380000.0</v>
      </c>
      <c r="H47" s="84">
        <v>380000.0</v>
      </c>
      <c r="I47" s="84">
        <v>380000.0</v>
      </c>
      <c r="J47" s="84">
        <v>380000.0</v>
      </c>
      <c r="K47" s="84">
        <v>380000.0</v>
      </c>
      <c r="L47" s="84">
        <v>380000.0</v>
      </c>
      <c r="M47" s="84">
        <v>380000.0</v>
      </c>
    </row>
    <row r="48">
      <c r="A48" s="9" t="s">
        <v>199</v>
      </c>
      <c r="B48" s="83"/>
      <c r="C48" s="83"/>
      <c r="D48" s="83"/>
      <c r="E48" s="83"/>
      <c r="F48" s="83"/>
      <c r="G48" s="83"/>
      <c r="H48" s="83"/>
      <c r="I48" s="83"/>
      <c r="J48" s="84">
        <v>280000.0</v>
      </c>
      <c r="K48" s="84">
        <v>280000.0</v>
      </c>
      <c r="L48" s="84">
        <v>280000.0</v>
      </c>
      <c r="M48" s="84">
        <v>280000.0</v>
      </c>
    </row>
    <row r="49">
      <c r="A49" s="9" t="s">
        <v>200</v>
      </c>
      <c r="B49" s="83"/>
      <c r="C49" s="83"/>
      <c r="D49" s="83"/>
      <c r="E49" s="83"/>
      <c r="F49" s="83"/>
      <c r="G49" s="83"/>
      <c r="H49" s="83"/>
      <c r="I49" s="84">
        <v>190000.0</v>
      </c>
      <c r="J49" s="84">
        <v>380000.0</v>
      </c>
      <c r="K49" s="84">
        <v>380000.0</v>
      </c>
      <c r="L49" s="84">
        <v>380000.0</v>
      </c>
      <c r="M49" s="84">
        <v>200000.0</v>
      </c>
    </row>
    <row r="50">
      <c r="A50" s="9" t="s">
        <v>201</v>
      </c>
      <c r="B50" s="83"/>
      <c r="C50" s="83"/>
      <c r="D50" s="83"/>
      <c r="E50" s="83"/>
      <c r="F50" s="83"/>
      <c r="G50" s="84">
        <v>380000.0</v>
      </c>
      <c r="H50" s="84">
        <v>380000.0</v>
      </c>
      <c r="I50" s="84">
        <v>380000.0</v>
      </c>
      <c r="J50" s="84">
        <v>280000.0</v>
      </c>
      <c r="K50" s="84">
        <v>380000.0</v>
      </c>
      <c r="L50" s="83"/>
      <c r="M50" s="84">
        <v>380000.0</v>
      </c>
    </row>
    <row r="51">
      <c r="A51" s="12" t="s">
        <v>202</v>
      </c>
      <c r="B51" s="83"/>
      <c r="C51" s="83"/>
      <c r="D51" s="83"/>
      <c r="E51" s="83"/>
      <c r="F51" s="83"/>
      <c r="G51" s="83"/>
      <c r="H51" s="83"/>
      <c r="I51" s="83"/>
      <c r="J51" s="83"/>
      <c r="K51" s="84">
        <v>200000.0</v>
      </c>
      <c r="L51" s="83"/>
      <c r="M51" s="83"/>
    </row>
    <row r="52">
      <c r="A52" s="12" t="s">
        <v>203</v>
      </c>
      <c r="B52" s="84">
        <v>140000.0</v>
      </c>
      <c r="C52" s="84">
        <v>150000.0</v>
      </c>
      <c r="D52" s="84">
        <v>196000.0</v>
      </c>
      <c r="E52" s="84">
        <v>280000.0</v>
      </c>
      <c r="F52" s="84">
        <v>280000.0</v>
      </c>
      <c r="G52" s="84">
        <v>280000.0</v>
      </c>
      <c r="H52" s="84">
        <v>280000.0</v>
      </c>
      <c r="I52" s="84">
        <v>280000.0</v>
      </c>
      <c r="J52" s="84">
        <v>280000.0</v>
      </c>
      <c r="K52" s="83"/>
      <c r="L52" s="83"/>
      <c r="M52" s="83"/>
    </row>
    <row r="53">
      <c r="A53" s="9" t="s">
        <v>204</v>
      </c>
      <c r="B53" s="83"/>
      <c r="C53" s="83"/>
      <c r="D53" s="83"/>
      <c r="E53" s="83"/>
      <c r="F53" s="84">
        <v>150000.0</v>
      </c>
      <c r="G53" s="84">
        <v>220000.0</v>
      </c>
      <c r="H53" s="84">
        <v>220000.0</v>
      </c>
      <c r="I53" s="84">
        <v>220000.0</v>
      </c>
      <c r="J53" s="84">
        <v>220000.0</v>
      </c>
      <c r="K53" s="84">
        <v>220000.0</v>
      </c>
      <c r="L53" s="84">
        <v>220000.0</v>
      </c>
      <c r="M53" s="84">
        <v>220000.0</v>
      </c>
    </row>
    <row r="54">
      <c r="A54" s="9" t="s">
        <v>114</v>
      </c>
      <c r="B54" s="84">
        <v>380000.0</v>
      </c>
      <c r="C54" s="84">
        <v>380000.0</v>
      </c>
      <c r="D54" s="84">
        <v>380000.0</v>
      </c>
      <c r="E54" s="84">
        <v>380000.0</v>
      </c>
      <c r="F54" s="84">
        <v>380000.0</v>
      </c>
      <c r="G54" s="84">
        <v>380000.0</v>
      </c>
      <c r="H54" s="84">
        <v>380000.0</v>
      </c>
      <c r="I54" s="84">
        <v>380000.0</v>
      </c>
      <c r="J54" s="84">
        <v>160000.0</v>
      </c>
      <c r="K54" s="84">
        <v>160000.0</v>
      </c>
      <c r="L54" s="83"/>
      <c r="M54" s="84">
        <v>265900.0</v>
      </c>
    </row>
    <row r="55">
      <c r="A55" s="12" t="s">
        <v>118</v>
      </c>
      <c r="B55" s="84">
        <v>100000.0</v>
      </c>
      <c r="C55" s="83"/>
      <c r="D55" s="83"/>
      <c r="E55" s="83"/>
      <c r="F55" s="83"/>
      <c r="G55" s="84">
        <v>150000.0</v>
      </c>
      <c r="H55" s="84">
        <v>150000.0</v>
      </c>
      <c r="I55" s="83"/>
      <c r="J55" s="83"/>
      <c r="K55" s="83"/>
      <c r="L55" s="83"/>
      <c r="M55" s="83"/>
    </row>
    <row r="56">
      <c r="A56" s="9" t="s">
        <v>66</v>
      </c>
      <c r="B56" s="84">
        <v>280000.0</v>
      </c>
      <c r="C56" s="84">
        <v>0.0</v>
      </c>
      <c r="D56" s="84">
        <v>280000.0</v>
      </c>
      <c r="E56" s="84">
        <v>280000.0</v>
      </c>
      <c r="F56" s="84">
        <v>280000.0</v>
      </c>
      <c r="G56" s="84">
        <v>280000.0</v>
      </c>
      <c r="H56" s="84">
        <v>280000.0</v>
      </c>
      <c r="I56" s="84">
        <v>280000.0</v>
      </c>
      <c r="J56" s="84">
        <v>280000.0</v>
      </c>
      <c r="K56" s="84">
        <v>280000.0</v>
      </c>
      <c r="L56" s="84">
        <v>280000.0</v>
      </c>
      <c r="M56" s="84">
        <v>280000.0</v>
      </c>
    </row>
    <row r="57">
      <c r="A57" s="9" t="s">
        <v>205</v>
      </c>
      <c r="B57" s="83"/>
      <c r="C57" s="83"/>
      <c r="D57" s="83"/>
      <c r="E57" s="83"/>
      <c r="F57" s="84">
        <v>190000.0</v>
      </c>
      <c r="G57" s="84">
        <v>160000.0</v>
      </c>
      <c r="H57" s="84">
        <v>160000.0</v>
      </c>
      <c r="I57" s="84">
        <v>160000.0</v>
      </c>
      <c r="J57" s="84">
        <v>250000.0</v>
      </c>
      <c r="K57" s="84">
        <v>250000.0</v>
      </c>
      <c r="L57" s="84">
        <v>250000.0</v>
      </c>
      <c r="M57" s="84">
        <v>250000.0</v>
      </c>
    </row>
    <row r="58">
      <c r="A58" s="12" t="s">
        <v>206</v>
      </c>
      <c r="B58" s="83"/>
      <c r="C58" s="83"/>
      <c r="D58" s="83"/>
      <c r="E58" s="83"/>
      <c r="F58" s="83"/>
      <c r="G58" s="83"/>
      <c r="H58" s="83"/>
      <c r="I58" s="83"/>
      <c r="J58" s="83"/>
      <c r="K58" s="84">
        <v>180000.0</v>
      </c>
      <c r="L58" s="83"/>
      <c r="M58" s="83"/>
    </row>
    <row r="59">
      <c r="A59" s="12" t="s">
        <v>207</v>
      </c>
      <c r="B59" s="83"/>
      <c r="C59" s="83"/>
      <c r="D59" s="83"/>
      <c r="E59" s="83"/>
      <c r="F59" s="84">
        <v>200000.0</v>
      </c>
      <c r="G59" s="84">
        <v>400000.0</v>
      </c>
      <c r="H59" s="84">
        <v>400000.0</v>
      </c>
      <c r="I59" s="84">
        <v>160000.0</v>
      </c>
      <c r="J59" s="84">
        <v>160000.0</v>
      </c>
      <c r="K59" s="83"/>
      <c r="L59" s="83"/>
      <c r="M59" s="83"/>
    </row>
    <row r="60">
      <c r="A60" s="9" t="s">
        <v>208</v>
      </c>
      <c r="B60" s="83"/>
      <c r="C60" s="83"/>
      <c r="D60" s="83"/>
      <c r="E60" s="83"/>
      <c r="F60" s="83"/>
      <c r="G60" s="83"/>
      <c r="H60" s="83"/>
      <c r="I60" s="83"/>
      <c r="J60" s="83"/>
      <c r="K60" s="84">
        <v>150000.0</v>
      </c>
      <c r="L60" s="84">
        <v>150000.0</v>
      </c>
      <c r="M60" s="84">
        <v>150000.0</v>
      </c>
    </row>
    <row r="61">
      <c r="A61" s="9" t="s">
        <v>209</v>
      </c>
      <c r="B61" s="83"/>
      <c r="C61" s="83"/>
      <c r="D61" s="83"/>
      <c r="E61" s="83"/>
      <c r="F61" s="83"/>
      <c r="G61" s="83"/>
      <c r="H61" s="83"/>
      <c r="I61" s="84">
        <v>200000.0</v>
      </c>
      <c r="J61" s="84">
        <v>200000.0</v>
      </c>
      <c r="K61" s="84">
        <v>200000.0</v>
      </c>
      <c r="L61" s="84">
        <v>200000.0</v>
      </c>
      <c r="M61" s="84">
        <v>200000.0</v>
      </c>
    </row>
    <row r="62">
      <c r="A62" s="9" t="s">
        <v>130</v>
      </c>
      <c r="B62" s="84">
        <v>350000.0</v>
      </c>
      <c r="C62" s="84">
        <v>350000.0</v>
      </c>
      <c r="D62" s="84">
        <v>350000.0</v>
      </c>
      <c r="E62" s="84">
        <v>350000.0</v>
      </c>
      <c r="F62" s="84">
        <v>350000.0</v>
      </c>
      <c r="G62" s="84">
        <v>350000.0</v>
      </c>
      <c r="H62" s="84">
        <v>350000.0</v>
      </c>
      <c r="I62" s="84">
        <v>350000.0</v>
      </c>
      <c r="J62" s="84">
        <v>350000.0</v>
      </c>
      <c r="K62" s="84">
        <v>350000.0</v>
      </c>
      <c r="L62" s="84">
        <v>350000.0</v>
      </c>
      <c r="M62" s="84">
        <v>350000.0</v>
      </c>
    </row>
    <row r="63">
      <c r="A63" s="9" t="s">
        <v>131</v>
      </c>
      <c r="B63" s="84">
        <v>280000.0</v>
      </c>
      <c r="C63" s="84">
        <v>280000.0</v>
      </c>
      <c r="D63" s="84">
        <v>280000.0</v>
      </c>
      <c r="E63" s="84">
        <v>0.0</v>
      </c>
      <c r="F63" s="84">
        <v>280000.0</v>
      </c>
      <c r="G63" s="84">
        <v>280000.0</v>
      </c>
      <c r="H63" s="84">
        <v>280000.0</v>
      </c>
      <c r="I63" s="84">
        <v>280000.0</v>
      </c>
      <c r="J63" s="84">
        <v>280000.0</v>
      </c>
      <c r="K63" s="84">
        <v>280000.0</v>
      </c>
      <c r="L63" s="84">
        <v>280000.0</v>
      </c>
      <c r="M63" s="84">
        <v>280000.0</v>
      </c>
    </row>
    <row r="64">
      <c r="A64" s="9" t="s">
        <v>210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4">
        <v>250000.0</v>
      </c>
      <c r="M64" s="84">
        <v>250000.0</v>
      </c>
    </row>
    <row r="65">
      <c r="A65" s="12" t="s">
        <v>211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</row>
    <row r="66">
      <c r="A66" s="38" t="s">
        <v>137</v>
      </c>
      <c r="B66" s="83"/>
      <c r="C66" s="83"/>
      <c r="D66" s="83"/>
      <c r="E66" s="83"/>
      <c r="F66" s="83"/>
      <c r="G66" s="85">
        <v>422000.0</v>
      </c>
      <c r="H66" s="85">
        <v>415000.0</v>
      </c>
      <c r="I66" s="85">
        <v>396000.0</v>
      </c>
      <c r="J66" s="85">
        <v>394000.0</v>
      </c>
      <c r="K66" s="85">
        <v>420000.0</v>
      </c>
      <c r="L66" s="85">
        <v>400000.0</v>
      </c>
      <c r="M66" s="85">
        <v>400000.0</v>
      </c>
    </row>
    <row r="67">
      <c r="A67" s="12" t="s">
        <v>147</v>
      </c>
      <c r="B67" s="83"/>
      <c r="C67" s="83"/>
      <c r="D67" s="83"/>
      <c r="E67" s="83"/>
      <c r="F67" s="83"/>
      <c r="G67" s="85">
        <v>380000.0</v>
      </c>
      <c r="H67" s="85">
        <v>380000.0</v>
      </c>
      <c r="I67" s="85">
        <v>380000.0</v>
      </c>
      <c r="J67" s="85">
        <v>380000.0</v>
      </c>
      <c r="K67" s="83"/>
      <c r="L67" s="83"/>
      <c r="M67" s="83"/>
    </row>
    <row r="68">
      <c r="A68" s="57" t="s">
        <v>212</v>
      </c>
      <c r="B68" s="85">
        <v>380000.0</v>
      </c>
      <c r="C68" s="85">
        <v>380000.0</v>
      </c>
      <c r="D68" s="85">
        <v>380000.0</v>
      </c>
      <c r="E68" s="85">
        <v>380000.0</v>
      </c>
      <c r="F68" s="85">
        <v>380000.0</v>
      </c>
      <c r="G68" s="83"/>
      <c r="H68" s="85">
        <v>380000.0</v>
      </c>
      <c r="I68" s="85">
        <v>380000.0</v>
      </c>
      <c r="J68" s="85">
        <v>380000.0</v>
      </c>
      <c r="K68" s="85">
        <v>380000.0</v>
      </c>
      <c r="L68" s="85">
        <v>380000.0</v>
      </c>
      <c r="M68" s="83"/>
    </row>
    <row r="69">
      <c r="A69" s="57" t="s">
        <v>14</v>
      </c>
      <c r="B69" s="83"/>
      <c r="C69" s="85">
        <v>362000.0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</row>
    <row r="70">
      <c r="A70" s="57" t="s">
        <v>213</v>
      </c>
      <c r="B70" s="83"/>
      <c r="C70" s="83"/>
      <c r="D70" s="83"/>
      <c r="E70" s="83"/>
      <c r="F70" s="83"/>
      <c r="G70" s="85">
        <v>380000.0</v>
      </c>
      <c r="H70" s="83"/>
      <c r="I70" s="83"/>
      <c r="J70" s="83"/>
      <c r="K70" s="83"/>
      <c r="L70" s="83"/>
      <c r="M70" s="83"/>
    </row>
    <row r="71">
      <c r="A71" s="57" t="s">
        <v>214</v>
      </c>
      <c r="B71" s="85">
        <v>210000.0</v>
      </c>
      <c r="C71" s="85">
        <v>430000.0</v>
      </c>
      <c r="D71" s="85">
        <v>424000.0</v>
      </c>
      <c r="E71" s="85">
        <v>395000.0</v>
      </c>
      <c r="F71" s="85">
        <v>407000.0</v>
      </c>
      <c r="G71" s="83"/>
      <c r="H71" s="83"/>
      <c r="I71" s="83"/>
      <c r="J71" s="83"/>
      <c r="K71" s="83"/>
      <c r="L71" s="83"/>
      <c r="M71" s="83"/>
    </row>
    <row r="72">
      <c r="A72" s="57" t="s">
        <v>49</v>
      </c>
      <c r="B72" s="83"/>
      <c r="C72" s="83"/>
      <c r="D72" s="83"/>
      <c r="E72" s="83"/>
      <c r="F72" s="85">
        <v>400000.0</v>
      </c>
      <c r="G72" s="85">
        <v>400000.0</v>
      </c>
      <c r="H72" s="85">
        <v>400000.0</v>
      </c>
      <c r="I72" s="85">
        <v>400000.0</v>
      </c>
      <c r="J72" s="85">
        <v>400000.0</v>
      </c>
      <c r="K72" s="85">
        <v>400000.0</v>
      </c>
      <c r="L72" s="83"/>
      <c r="M72" s="83"/>
    </row>
    <row r="73">
      <c r="A73" s="57" t="s">
        <v>134</v>
      </c>
      <c r="B73" s="85">
        <v>380000.0</v>
      </c>
      <c r="C73" s="85">
        <v>370000.0</v>
      </c>
      <c r="D73" s="85">
        <v>380000.0</v>
      </c>
      <c r="E73" s="85">
        <v>380000.0</v>
      </c>
      <c r="F73" s="85">
        <v>380000.0</v>
      </c>
      <c r="G73" s="85">
        <v>380000.0</v>
      </c>
      <c r="H73" s="85">
        <v>380000.0</v>
      </c>
      <c r="I73" s="83"/>
      <c r="J73" s="83"/>
      <c r="K73" s="83"/>
      <c r="L73" s="83"/>
      <c r="M73" s="83"/>
    </row>
    <row r="74">
      <c r="A74" s="57" t="s">
        <v>150</v>
      </c>
      <c r="B74" s="83"/>
      <c r="C74" s="83"/>
      <c r="D74" s="83"/>
      <c r="E74" s="83"/>
      <c r="F74" s="83"/>
      <c r="G74" s="85">
        <v>380000.0</v>
      </c>
      <c r="H74" s="85">
        <v>380000.0</v>
      </c>
      <c r="I74" s="85">
        <v>380000.0</v>
      </c>
      <c r="J74" s="85">
        <v>380000.0</v>
      </c>
      <c r="K74" s="85">
        <v>380000.0</v>
      </c>
      <c r="L74" s="83"/>
      <c r="M74" s="83"/>
    </row>
    <row r="75">
      <c r="A75" s="57" t="s">
        <v>215</v>
      </c>
      <c r="B75" s="83"/>
      <c r="C75" s="83"/>
      <c r="D75" s="83"/>
      <c r="E75" s="83"/>
      <c r="F75" s="83"/>
      <c r="G75" s="85" t="s">
        <v>216</v>
      </c>
      <c r="H75" s="85">
        <v>366000.0</v>
      </c>
      <c r="I75" s="85">
        <v>366000.0</v>
      </c>
      <c r="J75" s="85">
        <v>366000.0</v>
      </c>
      <c r="K75" s="85">
        <v>366000.0</v>
      </c>
      <c r="L75" s="83"/>
      <c r="M75" s="83"/>
    </row>
    <row r="76">
      <c r="A76" s="57" t="s">
        <v>76</v>
      </c>
      <c r="B76" s="83"/>
      <c r="C76" s="85">
        <v>380000.0</v>
      </c>
      <c r="D76" s="85">
        <v>380000.0</v>
      </c>
      <c r="E76" s="85">
        <v>380000.0</v>
      </c>
      <c r="F76" s="85">
        <v>380000.0</v>
      </c>
      <c r="G76" s="85">
        <v>380000.0</v>
      </c>
      <c r="H76" s="85">
        <v>380000.0</v>
      </c>
      <c r="I76" s="85">
        <v>380000.0</v>
      </c>
      <c r="J76" s="83"/>
      <c r="K76" s="83"/>
      <c r="L76" s="83"/>
      <c r="M76" s="83"/>
    </row>
    <row r="77">
      <c r="A77" s="57" t="s">
        <v>141</v>
      </c>
      <c r="B77" s="83"/>
      <c r="C77" s="83"/>
      <c r="D77" s="83"/>
      <c r="E77" s="83"/>
      <c r="F77" s="85">
        <v>450000.0</v>
      </c>
      <c r="G77" s="83"/>
      <c r="H77" s="83"/>
      <c r="I77" s="83"/>
      <c r="J77" s="83"/>
      <c r="K77" s="83"/>
      <c r="L77" s="83"/>
      <c r="M77" s="83"/>
    </row>
    <row r="78">
      <c r="A78" s="57" t="s">
        <v>217</v>
      </c>
      <c r="B78" s="83"/>
      <c r="C78" s="85">
        <v>490000.0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</row>
    <row r="79">
      <c r="A79" s="12" t="s">
        <v>75</v>
      </c>
      <c r="B79" s="86">
        <v>300000.0</v>
      </c>
      <c r="C79" s="87"/>
      <c r="D79" s="87"/>
      <c r="E79" s="83"/>
      <c r="F79" s="83"/>
      <c r="G79" s="83"/>
      <c r="H79" s="83"/>
      <c r="I79" s="83"/>
      <c r="J79" s="83"/>
      <c r="K79" s="83"/>
      <c r="L79" s="83"/>
      <c r="M79" s="83"/>
    </row>
    <row r="80">
      <c r="A80" s="38" t="s">
        <v>89</v>
      </c>
      <c r="B80" s="86">
        <v>486000.0</v>
      </c>
      <c r="C80" s="86">
        <v>470000.0</v>
      </c>
      <c r="D80" s="86">
        <v>470000.0</v>
      </c>
      <c r="E80" s="85">
        <v>455000.0</v>
      </c>
      <c r="F80" s="85">
        <v>450000.0</v>
      </c>
      <c r="G80" s="85">
        <v>422000.0</v>
      </c>
      <c r="H80" s="85">
        <v>422000.0</v>
      </c>
      <c r="I80" s="85">
        <v>405000.0</v>
      </c>
      <c r="J80" s="85">
        <v>408000.0</v>
      </c>
      <c r="K80" s="85">
        <v>420000.0</v>
      </c>
      <c r="L80" s="85">
        <v>400000.0</v>
      </c>
      <c r="M80" s="85">
        <v>397000.0</v>
      </c>
    </row>
    <row r="81">
      <c r="A81" s="38" t="s">
        <v>218</v>
      </c>
      <c r="B81" s="87"/>
      <c r="C81" s="87"/>
      <c r="D81" s="87"/>
      <c r="E81" s="83"/>
      <c r="F81" s="83"/>
      <c r="G81" s="83"/>
      <c r="H81" s="83"/>
      <c r="I81" s="83"/>
      <c r="J81" s="85">
        <v>380000.0</v>
      </c>
      <c r="K81" s="85">
        <v>380000.0</v>
      </c>
      <c r="L81" s="85">
        <v>380000.0</v>
      </c>
      <c r="M81" s="85">
        <v>380000.0</v>
      </c>
    </row>
    <row r="82">
      <c r="A82" s="12" t="s">
        <v>136</v>
      </c>
      <c r="B82" s="86">
        <v>372000.0</v>
      </c>
      <c r="C82" s="86">
        <v>393000.0</v>
      </c>
      <c r="D82" s="86">
        <v>380000.0</v>
      </c>
      <c r="E82" s="85">
        <v>370000.0</v>
      </c>
      <c r="F82" s="85">
        <v>369000.0</v>
      </c>
      <c r="G82" s="83"/>
      <c r="H82" s="83"/>
      <c r="I82" s="83"/>
      <c r="J82" s="83"/>
      <c r="K82" s="83"/>
      <c r="L82" s="83"/>
      <c r="M82" s="83"/>
    </row>
    <row r="83">
      <c r="A83" s="12" t="s">
        <v>40</v>
      </c>
      <c r="B83" s="88">
        <v>380000.0</v>
      </c>
      <c r="C83" s="64">
        <v>380000.0</v>
      </c>
      <c r="D83" s="64">
        <v>380000.0</v>
      </c>
      <c r="E83" s="64">
        <v>380000.0</v>
      </c>
      <c r="F83" s="64">
        <v>380000.0</v>
      </c>
      <c r="G83" s="64">
        <v>380000.0</v>
      </c>
      <c r="H83" s="64">
        <v>380000.0</v>
      </c>
      <c r="I83" s="64">
        <v>380000.0</v>
      </c>
      <c r="J83" s="64">
        <v>180000.0</v>
      </c>
      <c r="K83" s="83"/>
      <c r="L83" s="83"/>
      <c r="M83" s="83"/>
    </row>
    <row r="84">
      <c r="A84" s="4" t="s">
        <v>219</v>
      </c>
      <c r="B84" s="87"/>
      <c r="C84" s="83"/>
      <c r="D84" s="83"/>
      <c r="E84" s="83"/>
      <c r="F84" s="83"/>
      <c r="G84" s="83"/>
      <c r="H84" s="83"/>
      <c r="I84" s="83"/>
      <c r="J84" s="64">
        <v>400000.0</v>
      </c>
      <c r="K84" s="64">
        <v>400000.0</v>
      </c>
      <c r="L84" s="64">
        <v>400000.0</v>
      </c>
      <c r="M84" s="64">
        <v>400000.0</v>
      </c>
    </row>
    <row r="85">
      <c r="A85" s="4" t="s">
        <v>220</v>
      </c>
      <c r="B85" s="87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64">
        <v>350000.0</v>
      </c>
    </row>
    <row r="86">
      <c r="A86" s="4" t="s">
        <v>221</v>
      </c>
      <c r="B86" s="87"/>
      <c r="C86" s="83"/>
      <c r="D86" s="83"/>
      <c r="E86" s="83"/>
      <c r="F86" s="83"/>
      <c r="G86" s="83"/>
      <c r="H86" s="83"/>
      <c r="I86" s="83"/>
      <c r="J86" s="83"/>
      <c r="K86" s="83"/>
      <c r="L86" s="64">
        <v>480000.0</v>
      </c>
      <c r="M86" s="64">
        <v>482000.0</v>
      </c>
    </row>
    <row r="87">
      <c r="A87" s="4" t="s">
        <v>81</v>
      </c>
      <c r="B87" s="88">
        <v>800000.0</v>
      </c>
      <c r="C87" s="64" t="s">
        <v>222</v>
      </c>
      <c r="D87" s="64" t="s">
        <v>222</v>
      </c>
      <c r="E87" s="64">
        <v>800000.0</v>
      </c>
      <c r="F87" s="64" t="s">
        <v>222</v>
      </c>
      <c r="G87" s="64" t="s">
        <v>222</v>
      </c>
      <c r="H87" s="64">
        <v>800000.0</v>
      </c>
      <c r="I87" s="64" t="s">
        <v>222</v>
      </c>
      <c r="J87" s="64" t="s">
        <v>222</v>
      </c>
      <c r="K87" s="64">
        <v>800000.0</v>
      </c>
      <c r="L87" s="64" t="s">
        <v>222</v>
      </c>
      <c r="M87" s="64" t="s">
        <v>222</v>
      </c>
    </row>
    <row r="88">
      <c r="A88" s="12" t="s">
        <v>63</v>
      </c>
      <c r="B88" s="87"/>
      <c r="C88" s="83"/>
      <c r="D88" s="83"/>
      <c r="E88" s="83"/>
      <c r="F88" s="83"/>
      <c r="G88" s="83"/>
      <c r="H88" s="83"/>
      <c r="I88" s="64">
        <v>380000.0</v>
      </c>
      <c r="J88" s="64">
        <v>380000.0</v>
      </c>
      <c r="K88" s="83"/>
      <c r="L88" s="83"/>
      <c r="M88" s="83"/>
    </row>
    <row r="89">
      <c r="A89" s="4" t="s">
        <v>223</v>
      </c>
      <c r="B89" s="87"/>
      <c r="C89" s="83"/>
      <c r="D89" s="83"/>
      <c r="E89" s="83"/>
      <c r="F89" s="83"/>
      <c r="G89" s="83"/>
      <c r="H89" s="83"/>
      <c r="I89" s="83"/>
      <c r="J89" s="83"/>
      <c r="K89" s="64">
        <v>400000.0</v>
      </c>
      <c r="L89" s="64">
        <v>400000.0</v>
      </c>
      <c r="M89" s="64">
        <v>400000.0</v>
      </c>
    </row>
    <row r="90">
      <c r="A90" s="4" t="s">
        <v>77</v>
      </c>
      <c r="B90" s="64">
        <v>350000.0</v>
      </c>
      <c r="C90" s="88">
        <v>350000.0</v>
      </c>
      <c r="D90" s="88">
        <v>350000.0</v>
      </c>
      <c r="E90" s="64">
        <v>350000.0</v>
      </c>
      <c r="F90" s="64">
        <v>350000.0</v>
      </c>
      <c r="G90" s="64">
        <v>350000.0</v>
      </c>
      <c r="H90" s="64">
        <v>175000.0</v>
      </c>
      <c r="I90" s="64">
        <v>350000.0</v>
      </c>
      <c r="J90" s="64">
        <v>350000.0</v>
      </c>
      <c r="K90" s="64">
        <v>350000.0</v>
      </c>
      <c r="L90" s="64">
        <v>350000.0</v>
      </c>
      <c r="M90" s="64">
        <v>350000.0</v>
      </c>
    </row>
    <row r="91">
      <c r="A91" s="4" t="s">
        <v>224</v>
      </c>
      <c r="B91" s="83"/>
      <c r="C91" s="87"/>
      <c r="D91" s="87"/>
      <c r="E91" s="83"/>
      <c r="F91" s="83"/>
      <c r="G91" s="83"/>
      <c r="H91" s="83"/>
      <c r="I91" s="83"/>
      <c r="J91" s="64">
        <v>280000.0</v>
      </c>
      <c r="K91" s="64">
        <v>280000.0</v>
      </c>
      <c r="L91" s="64">
        <v>280000.0</v>
      </c>
      <c r="M91" s="64">
        <v>280000.0</v>
      </c>
    </row>
    <row r="92">
      <c r="A92" s="4" t="s">
        <v>147</v>
      </c>
      <c r="B92" s="83"/>
      <c r="C92" s="87"/>
      <c r="D92" s="87"/>
      <c r="E92" s="83"/>
      <c r="F92" s="83"/>
      <c r="G92" s="83"/>
      <c r="H92" s="83"/>
      <c r="I92" s="83"/>
      <c r="J92" s="83"/>
      <c r="K92" s="83"/>
      <c r="L92" s="83"/>
      <c r="M92" s="64">
        <v>380000.0</v>
      </c>
    </row>
    <row r="93">
      <c r="A93" s="4" t="s">
        <v>53</v>
      </c>
      <c r="B93" s="64">
        <v>250000.0</v>
      </c>
      <c r="C93" s="64">
        <v>250000.0</v>
      </c>
      <c r="D93" s="64">
        <v>250000.0</v>
      </c>
      <c r="E93" s="64">
        <v>250000.0</v>
      </c>
      <c r="F93" s="64">
        <v>250000.0</v>
      </c>
      <c r="G93" s="64">
        <v>250000.0</v>
      </c>
      <c r="H93" s="64">
        <v>250000.0</v>
      </c>
      <c r="I93" s="64">
        <v>250000.0</v>
      </c>
      <c r="J93" s="64">
        <v>250000.0</v>
      </c>
      <c r="K93" s="64">
        <v>250000.0</v>
      </c>
      <c r="L93" s="64">
        <v>250000.0</v>
      </c>
      <c r="M93" s="64">
        <v>250000.0</v>
      </c>
    </row>
    <row r="94">
      <c r="A94" s="4" t="s">
        <v>49</v>
      </c>
      <c r="B94" s="64">
        <v>350000.0</v>
      </c>
      <c r="C94" s="64">
        <v>350000.0</v>
      </c>
      <c r="D94" s="64">
        <v>350000.0</v>
      </c>
      <c r="E94" s="64">
        <v>350000.0</v>
      </c>
      <c r="F94" s="83"/>
      <c r="G94" s="83"/>
      <c r="H94" s="83"/>
      <c r="I94" s="83"/>
      <c r="J94" s="83"/>
      <c r="K94" s="83"/>
      <c r="L94" s="64">
        <v>400000.0</v>
      </c>
      <c r="M94" s="64">
        <v>400000.0</v>
      </c>
    </row>
    <row r="95">
      <c r="A95" s="12" t="s">
        <v>139</v>
      </c>
      <c r="B95" s="64">
        <v>280000.0</v>
      </c>
      <c r="C95" s="89" t="s">
        <v>225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</row>
    <row r="96">
      <c r="A96" s="4" t="s">
        <v>226</v>
      </c>
      <c r="B96" s="83"/>
      <c r="C96" s="83"/>
      <c r="D96" s="83"/>
      <c r="E96" s="83"/>
      <c r="F96" s="83"/>
      <c r="G96" s="83"/>
      <c r="H96" s="83"/>
      <c r="I96" s="64">
        <v>400000.0</v>
      </c>
      <c r="J96" s="64">
        <v>400000.0</v>
      </c>
      <c r="K96" s="64">
        <v>400000.0</v>
      </c>
      <c r="L96" s="64">
        <v>795000.0</v>
      </c>
      <c r="M96" s="64" t="s">
        <v>227</v>
      </c>
    </row>
    <row r="97">
      <c r="A97" s="4" t="s">
        <v>140</v>
      </c>
      <c r="B97" s="88">
        <v>800000.0</v>
      </c>
      <c r="C97" s="64" t="s">
        <v>222</v>
      </c>
      <c r="D97" s="64" t="s">
        <v>222</v>
      </c>
      <c r="E97" s="83"/>
      <c r="F97" s="64">
        <v>800000.0</v>
      </c>
      <c r="G97" s="64" t="s">
        <v>222</v>
      </c>
      <c r="H97" s="64" t="s">
        <v>222</v>
      </c>
      <c r="I97" s="83"/>
      <c r="J97" s="83"/>
      <c r="K97" s="64">
        <v>280000.0</v>
      </c>
      <c r="L97" s="64">
        <v>280000.0</v>
      </c>
      <c r="M97" s="64">
        <v>280000.0</v>
      </c>
    </row>
    <row r="98">
      <c r="A98" s="12" t="s">
        <v>228</v>
      </c>
      <c r="B98" s="87"/>
      <c r="C98" s="83"/>
      <c r="D98" s="90"/>
      <c r="E98" s="64">
        <v>140000.0</v>
      </c>
      <c r="F98" s="64">
        <v>280000.0</v>
      </c>
      <c r="G98" s="64">
        <v>280000.0</v>
      </c>
      <c r="H98" s="64">
        <v>280000.0</v>
      </c>
      <c r="I98" s="64">
        <v>280000.0</v>
      </c>
      <c r="J98" s="64">
        <v>280000.0</v>
      </c>
      <c r="K98" s="64">
        <v>280000.0</v>
      </c>
      <c r="L98" s="64">
        <v>280000.0</v>
      </c>
      <c r="M98" s="83"/>
    </row>
    <row r="99">
      <c r="A99" s="4" t="s">
        <v>229</v>
      </c>
      <c r="B99" s="87"/>
      <c r="C99" s="83"/>
      <c r="D99" s="90"/>
      <c r="E99" s="83"/>
      <c r="F99" s="83"/>
      <c r="G99" s="83"/>
      <c r="H99" s="83"/>
      <c r="I99" s="83"/>
      <c r="J99" s="64">
        <v>250000.0</v>
      </c>
      <c r="K99" s="64">
        <v>250000.0</v>
      </c>
      <c r="L99" s="91">
        <v>250000.0</v>
      </c>
      <c r="M99" s="64">
        <v>250000.0</v>
      </c>
    </row>
    <row r="100">
      <c r="A100" s="4" t="s">
        <v>230</v>
      </c>
      <c r="B100" s="87"/>
      <c r="C100" s="83"/>
      <c r="D100" s="90"/>
      <c r="E100" s="83"/>
      <c r="F100" s="83"/>
      <c r="G100" s="83"/>
      <c r="H100" s="83"/>
      <c r="I100" s="83"/>
      <c r="J100" s="83"/>
      <c r="K100" s="64">
        <v>400000.0</v>
      </c>
      <c r="L100" s="91">
        <v>400000.0</v>
      </c>
      <c r="M100" s="64">
        <v>400000.0</v>
      </c>
    </row>
    <row r="101">
      <c r="A101" s="40" t="s">
        <v>150</v>
      </c>
      <c r="B101" s="87"/>
      <c r="C101" s="83"/>
      <c r="D101" s="90"/>
      <c r="E101" s="83"/>
      <c r="F101" s="83"/>
      <c r="G101" s="83"/>
      <c r="H101" s="83"/>
      <c r="I101" s="83"/>
      <c r="J101" s="83"/>
      <c r="K101" s="83"/>
      <c r="L101" s="91">
        <v>380000.0</v>
      </c>
      <c r="M101" s="64">
        <v>380000.0</v>
      </c>
    </row>
    <row r="102">
      <c r="A102" s="40" t="s">
        <v>215</v>
      </c>
      <c r="B102" s="87"/>
      <c r="C102" s="83"/>
      <c r="D102" s="90"/>
      <c r="E102" s="83"/>
      <c r="F102" s="83"/>
      <c r="G102" s="83"/>
      <c r="H102" s="83"/>
      <c r="I102" s="83"/>
      <c r="J102" s="83"/>
      <c r="K102" s="83"/>
      <c r="L102" s="91">
        <v>366000.0</v>
      </c>
      <c r="M102" s="64">
        <v>366000.0</v>
      </c>
    </row>
    <row r="103">
      <c r="A103" s="4" t="s">
        <v>141</v>
      </c>
      <c r="B103" s="64">
        <v>394000.0</v>
      </c>
      <c r="C103" s="88">
        <v>380000.0</v>
      </c>
      <c r="D103" s="88">
        <v>380000.0</v>
      </c>
      <c r="E103" s="64">
        <v>365000.0</v>
      </c>
      <c r="F103" s="83"/>
      <c r="G103" s="64">
        <v>334000.0</v>
      </c>
      <c r="H103" s="64">
        <v>331000.0</v>
      </c>
      <c r="I103" s="64">
        <v>321000.0</v>
      </c>
      <c r="J103" s="64">
        <v>327000.0</v>
      </c>
      <c r="K103" s="64">
        <v>340000.0</v>
      </c>
      <c r="L103" s="64">
        <v>320000.0</v>
      </c>
      <c r="M103" s="64">
        <v>320000.0</v>
      </c>
    </row>
    <row r="104">
      <c r="A104" s="4" t="s">
        <v>231</v>
      </c>
      <c r="B104" s="83"/>
      <c r="C104" s="87"/>
      <c r="D104" s="87"/>
      <c r="E104" s="83"/>
      <c r="F104" s="83"/>
      <c r="G104" s="64">
        <v>350000.0</v>
      </c>
      <c r="H104" s="64">
        <v>350000.0</v>
      </c>
      <c r="I104" s="64">
        <v>350000.0</v>
      </c>
      <c r="J104" s="64">
        <v>350000.0</v>
      </c>
      <c r="K104" s="64">
        <v>350000.0</v>
      </c>
      <c r="L104" s="64">
        <v>350000.0</v>
      </c>
      <c r="M104" s="64">
        <v>350000.0</v>
      </c>
    </row>
    <row r="105">
      <c r="A105" s="40" t="s">
        <v>217</v>
      </c>
      <c r="B105" s="83"/>
      <c r="C105" s="87"/>
      <c r="D105" s="87"/>
      <c r="E105" s="83"/>
      <c r="F105" s="83"/>
      <c r="G105" s="83"/>
      <c r="H105" s="83"/>
      <c r="I105" s="83"/>
      <c r="J105" s="83"/>
      <c r="K105" s="83"/>
      <c r="L105" s="64">
        <v>400000.0</v>
      </c>
      <c r="M105" s="64">
        <v>400000.0</v>
      </c>
    </row>
    <row r="106">
      <c r="A106" s="4" t="s">
        <v>232</v>
      </c>
      <c r="B106" s="83"/>
      <c r="C106" s="87"/>
      <c r="D106" s="87"/>
      <c r="E106" s="83"/>
      <c r="F106" s="83"/>
      <c r="G106" s="83"/>
      <c r="H106" s="83"/>
      <c r="I106" s="83"/>
      <c r="J106" s="64">
        <v>280000.0</v>
      </c>
      <c r="K106" s="64">
        <v>280000.0</v>
      </c>
      <c r="L106" s="64">
        <v>280000.0</v>
      </c>
      <c r="M106" s="64">
        <v>280000.0</v>
      </c>
    </row>
    <row r="107">
      <c r="A107" s="12" t="s">
        <v>80</v>
      </c>
      <c r="B107" s="64">
        <v>2100000.0</v>
      </c>
      <c r="C107" s="88" t="s">
        <v>233</v>
      </c>
      <c r="D107" s="88" t="s">
        <v>233</v>
      </c>
      <c r="E107" s="88" t="s">
        <v>233</v>
      </c>
      <c r="F107" s="88" t="s">
        <v>233</v>
      </c>
      <c r="G107" s="88" t="s">
        <v>233</v>
      </c>
      <c r="H107" s="64">
        <v>1100000.0</v>
      </c>
      <c r="I107" s="88" t="s">
        <v>234</v>
      </c>
      <c r="J107" s="88" t="s">
        <v>234</v>
      </c>
      <c r="K107" s="87"/>
      <c r="L107" s="87"/>
      <c r="M107" s="87"/>
    </row>
    <row r="108">
      <c r="A108" s="4" t="s">
        <v>235</v>
      </c>
      <c r="B108" s="83"/>
      <c r="C108" s="88">
        <v>350000.0</v>
      </c>
      <c r="D108" s="88">
        <v>350000.0</v>
      </c>
      <c r="E108" s="88">
        <v>350000.0</v>
      </c>
      <c r="F108" s="88">
        <v>350000.0</v>
      </c>
      <c r="G108" s="88">
        <v>350000.0</v>
      </c>
      <c r="H108" s="64">
        <v>350000.0</v>
      </c>
      <c r="I108" s="64">
        <v>350000.0</v>
      </c>
      <c r="J108" s="64">
        <v>350000.0</v>
      </c>
      <c r="K108" s="64">
        <v>350000.0</v>
      </c>
      <c r="L108" s="64">
        <v>350000.0</v>
      </c>
      <c r="M108" s="64">
        <v>350000.0</v>
      </c>
    </row>
    <row r="109">
      <c r="A109" s="4" t="s">
        <v>78</v>
      </c>
      <c r="B109" s="64">
        <v>320000.0</v>
      </c>
      <c r="C109" s="88">
        <v>320000.0</v>
      </c>
      <c r="D109" s="88">
        <v>320000.0</v>
      </c>
      <c r="E109" s="83"/>
      <c r="F109" s="83"/>
      <c r="G109" s="83"/>
      <c r="H109" s="83"/>
      <c r="I109" s="83"/>
      <c r="J109" s="64">
        <v>157000.0</v>
      </c>
      <c r="K109" s="64">
        <v>320000.0</v>
      </c>
      <c r="L109" s="64">
        <v>320000.0</v>
      </c>
      <c r="M109" s="64">
        <v>320000.0</v>
      </c>
    </row>
    <row r="110">
      <c r="A110" s="12" t="s">
        <v>117</v>
      </c>
      <c r="B110" s="83"/>
      <c r="C110" s="87"/>
      <c r="D110" s="87"/>
      <c r="E110" s="83"/>
      <c r="F110" s="83"/>
      <c r="G110" s="83"/>
      <c r="H110" s="83"/>
      <c r="I110" s="64">
        <v>380000.0</v>
      </c>
      <c r="J110" s="83"/>
      <c r="K110" s="83"/>
      <c r="L110" s="83"/>
      <c r="M110" s="83"/>
    </row>
    <row r="111">
      <c r="A111" s="12" t="s">
        <v>236</v>
      </c>
      <c r="B111" s="87"/>
      <c r="C111" s="83"/>
      <c r="D111" s="83"/>
      <c r="E111" s="83"/>
      <c r="F111" s="83"/>
      <c r="G111" s="64">
        <v>221000.0</v>
      </c>
      <c r="H111" s="64">
        <v>350000.0</v>
      </c>
      <c r="I111" s="64">
        <v>350000.0</v>
      </c>
      <c r="J111" s="64">
        <v>105000.0</v>
      </c>
      <c r="K111" s="83"/>
      <c r="L111" s="83"/>
      <c r="M111" s="83"/>
    </row>
    <row r="112">
      <c r="A112" s="12" t="s">
        <v>85</v>
      </c>
      <c r="B112" s="88">
        <v>388000.0</v>
      </c>
      <c r="C112" s="64">
        <v>360000.0</v>
      </c>
      <c r="D112" s="64">
        <v>380000.0</v>
      </c>
      <c r="E112" s="64">
        <v>660000.0</v>
      </c>
      <c r="F112" s="64">
        <v>0.0</v>
      </c>
      <c r="G112" s="64">
        <v>398000.0</v>
      </c>
      <c r="H112" s="64">
        <v>332000.0</v>
      </c>
      <c r="I112" s="64">
        <v>325000.0</v>
      </c>
      <c r="J112" s="83"/>
      <c r="K112" s="83"/>
      <c r="L112" s="83"/>
      <c r="M112" s="83"/>
    </row>
    <row r="113">
      <c r="A113" s="12" t="s">
        <v>143</v>
      </c>
      <c r="B113" s="88">
        <v>280000.0</v>
      </c>
      <c r="C113" s="64">
        <v>280000.0</v>
      </c>
      <c r="D113" s="64">
        <v>280000.0</v>
      </c>
      <c r="E113" s="64">
        <v>280000.0</v>
      </c>
      <c r="F113" s="64">
        <v>100000.0</v>
      </c>
      <c r="G113" s="83"/>
      <c r="H113" s="83"/>
      <c r="I113" s="83"/>
      <c r="J113" s="83"/>
      <c r="K113" s="83"/>
      <c r="L113" s="83"/>
      <c r="M113" s="83"/>
    </row>
    <row r="114">
      <c r="A114" s="12" t="s">
        <v>145</v>
      </c>
      <c r="B114" s="92">
        <v>380000.0</v>
      </c>
      <c r="C114" s="93">
        <v>380000.0</v>
      </c>
      <c r="D114" s="93">
        <v>380000.0</v>
      </c>
      <c r="E114" s="93">
        <v>380000.0</v>
      </c>
      <c r="F114" s="93">
        <v>100000.0</v>
      </c>
      <c r="G114" s="83"/>
      <c r="H114" s="83"/>
      <c r="I114" s="83"/>
      <c r="J114" s="83"/>
      <c r="K114" s="83"/>
      <c r="L114" s="83"/>
      <c r="M114" s="83"/>
    </row>
    <row r="115">
      <c r="A115" s="12" t="s">
        <v>237</v>
      </c>
      <c r="B115" s="87"/>
      <c r="C115" s="93">
        <v>380000.0</v>
      </c>
      <c r="D115" s="93">
        <v>380000.0</v>
      </c>
      <c r="E115" s="93">
        <v>380000.0</v>
      </c>
      <c r="F115" s="93">
        <v>101000.0</v>
      </c>
      <c r="G115" s="83"/>
      <c r="H115" s="83"/>
      <c r="I115" s="83"/>
      <c r="J115" s="83"/>
      <c r="K115" s="83"/>
      <c r="L115" s="83"/>
      <c r="M115" s="83"/>
    </row>
    <row r="116">
      <c r="A116" s="12" t="s">
        <v>146</v>
      </c>
      <c r="B116" s="92">
        <v>380000.0</v>
      </c>
      <c r="C116" s="93">
        <v>380000.0</v>
      </c>
      <c r="D116" s="93">
        <v>380000.0</v>
      </c>
      <c r="E116" s="93">
        <v>380000.0</v>
      </c>
      <c r="F116" s="93">
        <v>380000.0</v>
      </c>
      <c r="G116" s="83"/>
      <c r="H116" s="83"/>
      <c r="I116" s="83"/>
      <c r="J116" s="83"/>
      <c r="K116" s="83"/>
      <c r="L116" s="83"/>
      <c r="M116" s="83"/>
    </row>
    <row r="117">
      <c r="A117" s="12" t="s">
        <v>147</v>
      </c>
      <c r="B117" s="92">
        <v>380000.0</v>
      </c>
      <c r="C117" s="93">
        <v>380000.0</v>
      </c>
      <c r="D117" s="93">
        <v>380000.0</v>
      </c>
      <c r="E117" s="93">
        <v>380000.0</v>
      </c>
      <c r="F117" s="93">
        <v>380000.0</v>
      </c>
      <c r="G117" s="83"/>
      <c r="H117" s="83"/>
      <c r="I117" s="83"/>
      <c r="J117" s="83"/>
      <c r="K117" s="83"/>
      <c r="L117" s="83"/>
      <c r="M117" s="83"/>
    </row>
    <row r="118">
      <c r="A118" s="12" t="s">
        <v>148</v>
      </c>
      <c r="B118" s="92">
        <v>380000.0</v>
      </c>
      <c r="C118" s="93">
        <v>380000.0</v>
      </c>
      <c r="D118" s="93">
        <v>380000.0</v>
      </c>
      <c r="E118" s="93">
        <v>380000.0</v>
      </c>
      <c r="F118" s="93">
        <v>380000.0</v>
      </c>
      <c r="G118" s="83"/>
      <c r="H118" s="83"/>
      <c r="I118" s="83"/>
      <c r="J118" s="83"/>
      <c r="K118" s="83"/>
      <c r="L118" s="83"/>
      <c r="M118" s="83"/>
    </row>
    <row r="119">
      <c r="A119" s="12" t="s">
        <v>149</v>
      </c>
      <c r="B119" s="92">
        <v>380000.0</v>
      </c>
      <c r="C119" s="93">
        <v>380000.0</v>
      </c>
      <c r="D119" s="93">
        <v>380000.0</v>
      </c>
      <c r="E119" s="93">
        <v>380000.0</v>
      </c>
      <c r="F119" s="83"/>
      <c r="G119" s="83"/>
      <c r="H119" s="83"/>
      <c r="I119" s="83"/>
      <c r="J119" s="83"/>
      <c r="K119" s="83"/>
      <c r="L119" s="83"/>
      <c r="M119" s="83"/>
    </row>
    <row r="120">
      <c r="A120" s="12" t="s">
        <v>213</v>
      </c>
      <c r="B120" s="87"/>
      <c r="C120" s="83"/>
      <c r="D120" s="93">
        <v>190000.0</v>
      </c>
      <c r="E120" s="93">
        <v>380000.0</v>
      </c>
      <c r="F120" s="93">
        <v>380000.0</v>
      </c>
      <c r="G120" s="83"/>
      <c r="H120" s="83"/>
      <c r="I120" s="83"/>
      <c r="J120" s="83"/>
      <c r="K120" s="83"/>
      <c r="L120" s="83"/>
      <c r="M120" s="83"/>
    </row>
    <row r="121">
      <c r="A121" s="12" t="s">
        <v>150</v>
      </c>
      <c r="B121" s="92">
        <v>380000.0</v>
      </c>
      <c r="C121" s="93">
        <v>380000.0</v>
      </c>
      <c r="D121" s="93">
        <v>380000.0</v>
      </c>
      <c r="E121" s="93">
        <v>380000.0</v>
      </c>
      <c r="F121" s="93">
        <v>380000.0</v>
      </c>
      <c r="G121" s="83"/>
      <c r="H121" s="83"/>
      <c r="I121" s="83"/>
      <c r="J121" s="83"/>
      <c r="K121" s="83"/>
      <c r="L121" s="83"/>
      <c r="M121" s="83"/>
    </row>
    <row r="122">
      <c r="A122" s="12" t="s">
        <v>151</v>
      </c>
      <c r="B122" s="93">
        <v>380000.0</v>
      </c>
      <c r="C122" s="93">
        <v>380000.0</v>
      </c>
      <c r="D122" s="93">
        <v>380000.0</v>
      </c>
      <c r="E122" s="93">
        <v>380000.0</v>
      </c>
      <c r="F122" s="83"/>
      <c r="G122" s="83"/>
      <c r="H122" s="83"/>
      <c r="I122" s="83"/>
      <c r="J122" s="83"/>
      <c r="K122" s="83"/>
      <c r="L122" s="83"/>
      <c r="M122" s="83"/>
    </row>
    <row r="123">
      <c r="A123" s="12" t="s">
        <v>152</v>
      </c>
      <c r="B123" s="93">
        <v>1100000.0</v>
      </c>
      <c r="C123" s="93" t="s">
        <v>238</v>
      </c>
      <c r="D123" s="93" t="s">
        <v>238</v>
      </c>
      <c r="E123" s="93">
        <v>1100000.0</v>
      </c>
      <c r="F123" s="93" t="s">
        <v>238</v>
      </c>
      <c r="G123" s="83" t="s">
        <v>238</v>
      </c>
      <c r="H123" s="83"/>
      <c r="I123" s="83"/>
      <c r="J123" s="83"/>
      <c r="K123" s="83"/>
      <c r="L123" s="83"/>
      <c r="M123" s="83"/>
    </row>
    <row r="124">
      <c r="A124" s="12" t="s">
        <v>153</v>
      </c>
      <c r="B124" s="93">
        <v>380000.0</v>
      </c>
      <c r="C124" s="93">
        <v>380000.0</v>
      </c>
      <c r="D124" s="93">
        <v>380000.0</v>
      </c>
      <c r="E124" s="93">
        <v>380000.0</v>
      </c>
      <c r="F124" s="83"/>
      <c r="G124" s="83"/>
      <c r="H124" s="83"/>
      <c r="I124" s="83"/>
      <c r="J124" s="83"/>
      <c r="K124" s="83"/>
      <c r="L124" s="83"/>
      <c r="M124" s="83"/>
    </row>
    <row r="125">
      <c r="A125" s="12" t="s">
        <v>154</v>
      </c>
      <c r="B125" s="93">
        <v>190000.0</v>
      </c>
      <c r="C125" s="93">
        <v>380000.0</v>
      </c>
      <c r="D125" s="93">
        <v>380000.0</v>
      </c>
      <c r="E125" s="83"/>
      <c r="F125" s="93">
        <v>190000.0</v>
      </c>
      <c r="G125" s="83"/>
      <c r="H125" s="83"/>
      <c r="I125" s="83"/>
      <c r="J125" s="83"/>
      <c r="K125" s="83"/>
      <c r="L125" s="83"/>
      <c r="M125" s="83"/>
    </row>
    <row r="126">
      <c r="A126" s="12" t="s">
        <v>231</v>
      </c>
      <c r="B126" s="83"/>
      <c r="C126" s="83"/>
      <c r="D126" s="93">
        <v>350000.0</v>
      </c>
      <c r="E126" s="93">
        <v>350000.0</v>
      </c>
      <c r="F126" s="93">
        <v>350000.0</v>
      </c>
      <c r="G126" s="83"/>
      <c r="H126" s="83"/>
      <c r="I126" s="83"/>
      <c r="J126" s="83"/>
      <c r="K126" s="83"/>
      <c r="L126" s="83"/>
      <c r="M126" s="83"/>
    </row>
    <row r="127">
      <c r="A127" s="12" t="s">
        <v>201</v>
      </c>
      <c r="B127" s="93">
        <v>380000.0</v>
      </c>
      <c r="C127" s="93">
        <v>380000.0</v>
      </c>
      <c r="D127" s="93">
        <v>380000.0</v>
      </c>
      <c r="E127" s="93">
        <v>380000.0</v>
      </c>
      <c r="F127" s="93">
        <v>380000.0</v>
      </c>
      <c r="G127" s="83"/>
      <c r="H127" s="83"/>
      <c r="I127" s="83"/>
      <c r="J127" s="83"/>
      <c r="K127" s="83"/>
      <c r="L127" s="83"/>
      <c r="M127" s="83"/>
    </row>
    <row r="128">
      <c r="A128" s="12" t="s">
        <v>239</v>
      </c>
      <c r="B128" s="83"/>
      <c r="C128" s="93">
        <v>190000.0</v>
      </c>
      <c r="D128" s="93">
        <v>380000.0</v>
      </c>
      <c r="E128" s="93">
        <v>380000.0</v>
      </c>
      <c r="F128" s="93">
        <v>380000.0</v>
      </c>
      <c r="G128" s="83"/>
      <c r="H128" s="83"/>
      <c r="I128" s="83"/>
      <c r="J128" s="83"/>
      <c r="K128" s="83"/>
      <c r="L128" s="83"/>
      <c r="M128" s="83"/>
    </row>
    <row r="129">
      <c r="A129" s="12" t="s">
        <v>240</v>
      </c>
      <c r="B129" s="93">
        <v>116000.0</v>
      </c>
      <c r="C129" s="93">
        <v>350000.0</v>
      </c>
      <c r="D129" s="93">
        <v>280000.0</v>
      </c>
      <c r="E129" s="93">
        <v>280000.0</v>
      </c>
      <c r="F129" s="83"/>
      <c r="G129" s="83"/>
      <c r="H129" s="83"/>
      <c r="I129" s="83"/>
      <c r="J129" s="83"/>
      <c r="K129" s="83"/>
      <c r="L129" s="83"/>
      <c r="M129" s="83"/>
    </row>
    <row r="130">
      <c r="A130" s="12" t="s">
        <v>241</v>
      </c>
      <c r="B130" s="83"/>
      <c r="C130" s="94">
        <v>140000.0</v>
      </c>
      <c r="D130" s="94">
        <v>280000.0</v>
      </c>
      <c r="E130" s="83"/>
      <c r="F130" s="83"/>
      <c r="G130" s="83"/>
      <c r="H130" s="83"/>
      <c r="I130" s="83"/>
      <c r="J130" s="83"/>
      <c r="K130" s="83"/>
      <c r="L130" s="83"/>
      <c r="M130" s="83"/>
    </row>
    <row r="131">
      <c r="A131" s="12" t="s">
        <v>242</v>
      </c>
      <c r="B131" s="83"/>
      <c r="C131" s="94">
        <v>74000.0</v>
      </c>
      <c r="D131" s="94">
        <v>280000.0</v>
      </c>
      <c r="E131" s="94">
        <v>280000.0</v>
      </c>
      <c r="F131" s="94">
        <v>280000.0</v>
      </c>
      <c r="G131" s="83" t="s">
        <v>225</v>
      </c>
      <c r="H131" s="83"/>
      <c r="I131" s="83"/>
      <c r="J131" s="83"/>
      <c r="K131" s="83"/>
      <c r="L131" s="83"/>
      <c r="M131" s="83"/>
    </row>
    <row r="132">
      <c r="A132" s="12" t="s">
        <v>176</v>
      </c>
      <c r="B132" s="83"/>
      <c r="C132" s="83"/>
      <c r="D132" s="83"/>
      <c r="E132" s="83"/>
      <c r="F132" s="94">
        <v>84000.0</v>
      </c>
      <c r="G132" s="94">
        <v>280000.0</v>
      </c>
      <c r="H132" s="94">
        <v>280000.0</v>
      </c>
      <c r="I132" s="94">
        <v>280000.0</v>
      </c>
      <c r="J132" s="83"/>
      <c r="K132" s="83"/>
      <c r="L132" s="83"/>
      <c r="M132" s="83"/>
    </row>
    <row r="133">
      <c r="A133" s="12" t="s">
        <v>243</v>
      </c>
      <c r="B133" s="83"/>
      <c r="C133" s="83"/>
      <c r="D133" s="83"/>
      <c r="E133" s="94">
        <v>280000.0</v>
      </c>
      <c r="F133" s="94">
        <v>280000.0</v>
      </c>
      <c r="G133" s="94">
        <v>280000.0</v>
      </c>
      <c r="H133" s="83"/>
      <c r="I133" s="83"/>
      <c r="J133" s="83"/>
      <c r="K133" s="83"/>
      <c r="L133" s="83"/>
      <c r="M133" s="83"/>
    </row>
    <row r="134">
      <c r="A134" s="12" t="s">
        <v>149</v>
      </c>
      <c r="B134" s="83"/>
      <c r="C134" s="83"/>
      <c r="D134" s="83"/>
      <c r="E134" s="83"/>
      <c r="F134" s="94">
        <v>280000.0</v>
      </c>
      <c r="G134" s="94">
        <v>280000.0</v>
      </c>
      <c r="H134" s="83"/>
      <c r="I134" s="83"/>
      <c r="J134" s="83"/>
      <c r="K134" s="83"/>
      <c r="L134" s="83"/>
      <c r="M134" s="83"/>
    </row>
    <row r="135">
      <c r="A135" s="12" t="s">
        <v>151</v>
      </c>
      <c r="B135" s="83"/>
      <c r="C135" s="83"/>
      <c r="D135" s="83"/>
      <c r="E135" s="83"/>
      <c r="F135" s="94">
        <v>280000.0</v>
      </c>
      <c r="G135" s="94">
        <v>280000.0</v>
      </c>
      <c r="H135" s="83"/>
      <c r="I135" s="83"/>
      <c r="J135" s="83"/>
      <c r="K135" s="83"/>
      <c r="L135" s="83"/>
      <c r="M135" s="83"/>
    </row>
    <row r="136">
      <c r="A136" s="12" t="s">
        <v>199</v>
      </c>
      <c r="B136" s="83"/>
      <c r="C136" s="94">
        <v>140000.0</v>
      </c>
      <c r="D136" s="94">
        <v>280000.0</v>
      </c>
      <c r="E136" s="94">
        <v>280000.0</v>
      </c>
      <c r="F136" s="94">
        <v>280000.0</v>
      </c>
      <c r="G136" s="94">
        <v>280000.0</v>
      </c>
      <c r="H136" s="94">
        <v>280000.0</v>
      </c>
      <c r="I136" s="94">
        <v>280000.0</v>
      </c>
      <c r="J136" s="83"/>
      <c r="K136" s="83"/>
      <c r="L136" s="83"/>
      <c r="M136" s="83"/>
    </row>
    <row r="137">
      <c r="A137" s="12" t="s">
        <v>244</v>
      </c>
      <c r="B137" s="83"/>
      <c r="C137" s="83"/>
      <c r="D137" s="83"/>
      <c r="E137" s="94">
        <v>280000.0</v>
      </c>
      <c r="F137" s="94">
        <v>280000.0</v>
      </c>
      <c r="G137" s="94">
        <v>280000.0</v>
      </c>
      <c r="H137" s="94">
        <v>280000.0</v>
      </c>
      <c r="I137" s="83"/>
      <c r="J137" s="83"/>
      <c r="K137" s="83"/>
      <c r="L137" s="83"/>
      <c r="M137" s="83"/>
    </row>
    <row r="138">
      <c r="A138" s="12" t="s">
        <v>155</v>
      </c>
      <c r="B138" s="94">
        <v>340000.0</v>
      </c>
      <c r="C138" s="94">
        <v>300000.0</v>
      </c>
      <c r="D138" s="94">
        <v>300000.0</v>
      </c>
      <c r="E138" s="83"/>
      <c r="F138" s="83"/>
      <c r="G138" s="83"/>
      <c r="H138" s="83"/>
      <c r="I138" s="83"/>
      <c r="J138" s="83"/>
      <c r="K138" s="83"/>
      <c r="L138" s="83"/>
      <c r="M138" s="83"/>
    </row>
    <row r="139">
      <c r="A139" s="12" t="s">
        <v>245</v>
      </c>
      <c r="B139" s="94">
        <v>140000.0</v>
      </c>
      <c r="C139" s="94">
        <v>280000.0</v>
      </c>
      <c r="D139" s="94">
        <v>280000.0</v>
      </c>
      <c r="E139" s="94">
        <v>280000.0</v>
      </c>
      <c r="F139" s="94">
        <v>280000.0</v>
      </c>
      <c r="G139" s="94">
        <v>280000.0</v>
      </c>
      <c r="H139" s="94">
        <v>280000.0</v>
      </c>
      <c r="I139" s="83"/>
      <c r="J139" s="83"/>
      <c r="K139" s="83"/>
      <c r="L139" s="83"/>
      <c r="M139" s="83"/>
    </row>
    <row r="140">
      <c r="A140" s="12" t="s">
        <v>156</v>
      </c>
      <c r="B140" s="94">
        <v>380000.0</v>
      </c>
      <c r="C140" s="94">
        <v>350000.0</v>
      </c>
      <c r="D140" s="94">
        <v>350000.0</v>
      </c>
      <c r="E140" s="94">
        <v>350000.0</v>
      </c>
      <c r="F140" s="94">
        <v>135000.0</v>
      </c>
      <c r="G140" s="83"/>
      <c r="H140" s="83"/>
      <c r="I140" s="83"/>
      <c r="J140" s="83"/>
      <c r="K140" s="83"/>
      <c r="L140" s="83"/>
      <c r="M140" s="83"/>
    </row>
    <row r="141">
      <c r="A141" s="12" t="s">
        <v>157</v>
      </c>
      <c r="B141" s="95">
        <v>280000.0</v>
      </c>
      <c r="C141" s="94">
        <v>280000.0</v>
      </c>
      <c r="D141" s="94">
        <v>280000.0</v>
      </c>
      <c r="E141" s="83"/>
      <c r="F141" s="83"/>
      <c r="G141" s="83"/>
      <c r="H141" s="83"/>
      <c r="I141" s="83"/>
      <c r="J141" s="83"/>
      <c r="K141" s="83"/>
      <c r="L141" s="83"/>
      <c r="M141" s="83"/>
    </row>
    <row r="142">
      <c r="A142" s="12" t="s">
        <v>158</v>
      </c>
      <c r="B142" s="95">
        <v>800000.0</v>
      </c>
      <c r="C142" s="94" t="s">
        <v>238</v>
      </c>
      <c r="D142" s="94" t="s">
        <v>238</v>
      </c>
      <c r="E142" s="94">
        <v>800000.0</v>
      </c>
      <c r="F142" s="94" t="s">
        <v>238</v>
      </c>
      <c r="G142" s="94" t="s">
        <v>238</v>
      </c>
      <c r="H142" s="94">
        <v>250000.0</v>
      </c>
      <c r="I142" s="94">
        <v>250000.0</v>
      </c>
      <c r="J142" s="83"/>
      <c r="K142" s="83"/>
      <c r="L142" s="83"/>
      <c r="M142" s="83"/>
    </row>
    <row r="143">
      <c r="A143" s="12" t="s">
        <v>232</v>
      </c>
      <c r="B143" s="87"/>
      <c r="C143" s="83"/>
      <c r="D143" s="83"/>
      <c r="E143" s="94">
        <v>186000.0</v>
      </c>
      <c r="F143" s="94">
        <v>280000.0</v>
      </c>
      <c r="G143" s="94">
        <v>280000.0</v>
      </c>
      <c r="H143" s="94">
        <v>280000.0</v>
      </c>
      <c r="I143" s="94">
        <v>280000.0</v>
      </c>
      <c r="J143" s="83"/>
      <c r="K143" s="83"/>
      <c r="L143" s="83"/>
      <c r="M143" s="83"/>
    </row>
    <row r="144">
      <c r="A144" s="12" t="s">
        <v>246</v>
      </c>
      <c r="B144" s="87"/>
      <c r="C144" s="83"/>
      <c r="D144" s="83"/>
      <c r="E144" s="83"/>
      <c r="F144" s="94">
        <v>280000.0</v>
      </c>
      <c r="G144" s="83"/>
      <c r="H144" s="83"/>
      <c r="I144" s="83"/>
      <c r="J144" s="83"/>
      <c r="K144" s="83"/>
      <c r="L144" s="83"/>
      <c r="M144" s="83"/>
      <c r="N144" s="96" t="s">
        <v>247</v>
      </c>
      <c r="O144" s="96" t="s">
        <v>248</v>
      </c>
    </row>
    <row r="145">
      <c r="A145" s="9" t="s">
        <v>16</v>
      </c>
      <c r="B145" s="97">
        <f t="shared" ref="B145:C145" si="1">SUM(B5:B142)</f>
        <v>28348000</v>
      </c>
      <c r="C145" s="97">
        <f t="shared" si="1"/>
        <v>19619000</v>
      </c>
      <c r="D145" s="97">
        <f t="shared" ref="D145:E145" si="2">SUM(D5:D143)</f>
        <v>19350000</v>
      </c>
      <c r="E145" s="97">
        <f t="shared" si="2"/>
        <v>21326000</v>
      </c>
      <c r="F145" s="97">
        <f t="shared" ref="F145:M145" si="3">SUM(F5:F144)</f>
        <v>19656000</v>
      </c>
      <c r="G145" s="97">
        <f t="shared" si="3"/>
        <v>17277000</v>
      </c>
      <c r="H145" s="97">
        <f t="shared" si="3"/>
        <v>18571000</v>
      </c>
      <c r="I145" s="97">
        <f t="shared" si="3"/>
        <v>17528000</v>
      </c>
      <c r="J145" s="97">
        <f t="shared" si="3"/>
        <v>17812000</v>
      </c>
      <c r="K145" s="97">
        <f t="shared" si="3"/>
        <v>21112000</v>
      </c>
      <c r="L145" s="97">
        <f t="shared" si="3"/>
        <v>19677000</v>
      </c>
      <c r="M145" s="97">
        <f t="shared" si="3"/>
        <v>18117500</v>
      </c>
      <c r="N145" s="98">
        <f>SUM(B145:M145)</f>
        <v>238393500</v>
      </c>
      <c r="O145" s="98">
        <f>N145/12</f>
        <v>19866125</v>
      </c>
    </row>
    <row r="146">
      <c r="B146" s="11"/>
      <c r="C146" s="11"/>
      <c r="D146" s="11"/>
      <c r="E146" s="11"/>
      <c r="F146" s="11"/>
      <c r="N146" s="99"/>
      <c r="O146" s="99"/>
    </row>
    <row r="147">
      <c r="A147" s="12" t="s">
        <v>17</v>
      </c>
      <c r="B147" s="5" t="s">
        <v>162</v>
      </c>
      <c r="C147" s="5" t="s">
        <v>163</v>
      </c>
      <c r="D147" s="5" t="s">
        <v>32</v>
      </c>
      <c r="E147" s="5" t="s">
        <v>33</v>
      </c>
      <c r="F147" s="5" t="s">
        <v>34</v>
      </c>
      <c r="G147" s="5" t="s">
        <v>35</v>
      </c>
      <c r="H147" s="5" t="s">
        <v>36</v>
      </c>
      <c r="I147" s="5" t="s">
        <v>2</v>
      </c>
      <c r="J147" s="5" t="s">
        <v>3</v>
      </c>
      <c r="K147" s="5" t="s">
        <v>4</v>
      </c>
      <c r="L147" s="5" t="s">
        <v>5</v>
      </c>
      <c r="M147" s="5" t="s">
        <v>6</v>
      </c>
      <c r="N147" s="99"/>
      <c r="O147" s="99"/>
    </row>
    <row r="148">
      <c r="A148" s="4" t="s">
        <v>19</v>
      </c>
      <c r="B148" s="64">
        <v>122000.0</v>
      </c>
      <c r="C148" s="64">
        <v>115000.0</v>
      </c>
      <c r="D148" s="64">
        <v>122000.0</v>
      </c>
      <c r="E148" s="64">
        <v>120000.0</v>
      </c>
      <c r="F148" s="64">
        <v>112000.0</v>
      </c>
      <c r="G148" s="64">
        <v>120000.0</v>
      </c>
      <c r="H148" s="64">
        <v>105000.0</v>
      </c>
      <c r="I148" s="64">
        <v>105000.0</v>
      </c>
      <c r="J148" s="64">
        <v>100000.0</v>
      </c>
      <c r="K148" s="64">
        <v>100000.0</v>
      </c>
      <c r="L148" s="64">
        <v>100000.0</v>
      </c>
      <c r="M148" s="64">
        <v>100000.0</v>
      </c>
      <c r="N148" s="99"/>
      <c r="O148" s="99"/>
    </row>
    <row r="149">
      <c r="A149" s="4" t="s">
        <v>97</v>
      </c>
      <c r="B149" s="64">
        <v>750000.0</v>
      </c>
      <c r="C149" s="64">
        <v>1200000.0</v>
      </c>
      <c r="D149" s="64">
        <v>1585000.0</v>
      </c>
      <c r="E149" s="64">
        <v>1455000.0</v>
      </c>
      <c r="F149" s="64">
        <v>1780000.0</v>
      </c>
      <c r="G149" s="64">
        <v>1800000.0</v>
      </c>
      <c r="H149" s="64">
        <v>1635000.0</v>
      </c>
      <c r="I149" s="64">
        <v>1680000.0</v>
      </c>
      <c r="J149" s="64">
        <v>1855000.0</v>
      </c>
      <c r="K149" s="64">
        <v>1840000.0</v>
      </c>
      <c r="L149" s="64">
        <v>1830000.0</v>
      </c>
      <c r="M149" s="64">
        <v>1895000.0</v>
      </c>
      <c r="N149" s="99"/>
      <c r="O149" s="99"/>
    </row>
    <row r="150">
      <c r="A150" s="17" t="s">
        <v>20</v>
      </c>
      <c r="B150" s="64">
        <v>635000.0</v>
      </c>
      <c r="C150" s="64">
        <v>310000.0</v>
      </c>
      <c r="D150" s="64">
        <v>310000.0</v>
      </c>
      <c r="E150" s="64">
        <v>310000.0</v>
      </c>
      <c r="F150" s="64">
        <v>310000.0</v>
      </c>
      <c r="G150" s="64">
        <v>310000.0</v>
      </c>
      <c r="H150" s="64">
        <v>1495000.0</v>
      </c>
      <c r="I150" s="64">
        <v>830000.0</v>
      </c>
      <c r="J150" s="64">
        <v>150000.0</v>
      </c>
      <c r="K150" s="64">
        <v>464000.0</v>
      </c>
      <c r="L150" s="64">
        <v>150000.0</v>
      </c>
      <c r="M150" s="64">
        <v>300000.0</v>
      </c>
      <c r="N150" s="99"/>
      <c r="O150" s="99"/>
    </row>
    <row r="151">
      <c r="A151" s="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99"/>
      <c r="O151" s="99"/>
    </row>
    <row r="152">
      <c r="A152" s="12" t="s">
        <v>21</v>
      </c>
      <c r="B152" s="100">
        <f t="shared" ref="B152:M152" si="4">SUM(B148:B151)</f>
        <v>1507000</v>
      </c>
      <c r="C152" s="100">
        <f t="shared" si="4"/>
        <v>1625000</v>
      </c>
      <c r="D152" s="100">
        <f t="shared" si="4"/>
        <v>2017000</v>
      </c>
      <c r="E152" s="100">
        <f t="shared" si="4"/>
        <v>1885000</v>
      </c>
      <c r="F152" s="100">
        <f t="shared" si="4"/>
        <v>2202000</v>
      </c>
      <c r="G152" s="100">
        <f t="shared" si="4"/>
        <v>2230000</v>
      </c>
      <c r="H152" s="100">
        <f t="shared" si="4"/>
        <v>3235000</v>
      </c>
      <c r="I152" s="100">
        <f t="shared" si="4"/>
        <v>2615000</v>
      </c>
      <c r="J152" s="100">
        <f t="shared" si="4"/>
        <v>2105000</v>
      </c>
      <c r="K152" s="100">
        <f t="shared" si="4"/>
        <v>2404000</v>
      </c>
      <c r="L152" s="100">
        <f t="shared" si="4"/>
        <v>2080000</v>
      </c>
      <c r="M152" s="100">
        <f t="shared" si="4"/>
        <v>2295000</v>
      </c>
      <c r="N152" s="98">
        <f>SUM(B152:M152)</f>
        <v>26200000</v>
      </c>
      <c r="O152" s="98">
        <f>N152/12</f>
        <v>2183333.333</v>
      </c>
    </row>
    <row r="153"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99"/>
      <c r="O153" s="99"/>
    </row>
    <row r="154">
      <c r="A154" s="15" t="s">
        <v>22</v>
      </c>
      <c r="B154" s="101">
        <f t="shared" ref="B154:M154" si="5">B145-B152</f>
        <v>26841000</v>
      </c>
      <c r="C154" s="101">
        <f t="shared" si="5"/>
        <v>17994000</v>
      </c>
      <c r="D154" s="101">
        <f t="shared" si="5"/>
        <v>17333000</v>
      </c>
      <c r="E154" s="101">
        <f t="shared" si="5"/>
        <v>19441000</v>
      </c>
      <c r="F154" s="101">
        <f t="shared" si="5"/>
        <v>17454000</v>
      </c>
      <c r="G154" s="101">
        <f t="shared" si="5"/>
        <v>15047000</v>
      </c>
      <c r="H154" s="101">
        <f t="shared" si="5"/>
        <v>15336000</v>
      </c>
      <c r="I154" s="101">
        <f t="shared" si="5"/>
        <v>14913000</v>
      </c>
      <c r="J154" s="101">
        <f t="shared" si="5"/>
        <v>15707000</v>
      </c>
      <c r="K154" s="101">
        <f t="shared" si="5"/>
        <v>18708000</v>
      </c>
      <c r="L154" s="101">
        <f t="shared" si="5"/>
        <v>17597000</v>
      </c>
      <c r="M154" s="101">
        <f t="shared" si="5"/>
        <v>15822500</v>
      </c>
      <c r="N154" s="98">
        <f>SUM(B154:M154)</f>
        <v>212193500</v>
      </c>
      <c r="O154" s="98">
        <f>N154/12</f>
        <v>17682791.67</v>
      </c>
    </row>
    <row r="155"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99"/>
      <c r="O155" s="99"/>
    </row>
    <row r="156">
      <c r="A156" s="31" t="s">
        <v>249</v>
      </c>
      <c r="B156" s="72">
        <f t="shared" ref="B156:M156" si="6">SUM(B5:B16)*40%</f>
        <v>3610400</v>
      </c>
      <c r="C156" s="72">
        <f t="shared" si="6"/>
        <v>1444000</v>
      </c>
      <c r="D156" s="72">
        <f t="shared" si="6"/>
        <v>1216000</v>
      </c>
      <c r="E156" s="72">
        <f t="shared" si="6"/>
        <v>912000</v>
      </c>
      <c r="F156" s="72">
        <f t="shared" si="6"/>
        <v>1064000</v>
      </c>
      <c r="G156" s="72">
        <f t="shared" si="6"/>
        <v>1064000</v>
      </c>
      <c r="H156" s="72">
        <f t="shared" si="6"/>
        <v>988000</v>
      </c>
      <c r="I156" s="72">
        <f t="shared" si="6"/>
        <v>912000</v>
      </c>
      <c r="J156" s="72">
        <f t="shared" si="6"/>
        <v>1064000</v>
      </c>
      <c r="K156" s="72">
        <f t="shared" si="6"/>
        <v>1064000</v>
      </c>
      <c r="L156" s="72">
        <f t="shared" si="6"/>
        <v>912000</v>
      </c>
      <c r="M156" s="72">
        <f t="shared" si="6"/>
        <v>760000</v>
      </c>
      <c r="N156" s="99"/>
      <c r="O156" s="99"/>
    </row>
    <row r="157">
      <c r="A157" s="29" t="s">
        <v>164</v>
      </c>
      <c r="B157" s="72">
        <f t="shared" ref="B157:I157" si="7">SUM(B17:B63)*70%</f>
        <v>2615200</v>
      </c>
      <c r="C157" s="72">
        <f t="shared" si="7"/>
        <v>2401000</v>
      </c>
      <c r="D157" s="72">
        <f t="shared" si="7"/>
        <v>2398200</v>
      </c>
      <c r="E157" s="72">
        <f t="shared" si="7"/>
        <v>2614500</v>
      </c>
      <c r="F157" s="72">
        <f t="shared" si="7"/>
        <v>3591000</v>
      </c>
      <c r="G157" s="72">
        <f t="shared" si="7"/>
        <v>4424000</v>
      </c>
      <c r="H157" s="72">
        <f t="shared" si="7"/>
        <v>4375000</v>
      </c>
      <c r="I157" s="72">
        <f t="shared" si="7"/>
        <v>4868500</v>
      </c>
      <c r="J157" s="72">
        <f>SUM(J17:J65)*70%</f>
        <v>5407500</v>
      </c>
      <c r="K157" s="72">
        <f t="shared" ref="K157:M157" si="8">SUM(K17:K64)*70%</f>
        <v>6983200</v>
      </c>
      <c r="L157" s="72">
        <f t="shared" si="8"/>
        <v>5954200</v>
      </c>
      <c r="M157" s="72">
        <f t="shared" si="8"/>
        <v>5636750</v>
      </c>
      <c r="N157" s="98"/>
      <c r="O157" s="99"/>
    </row>
    <row r="158">
      <c r="A158" s="67" t="s">
        <v>99</v>
      </c>
      <c r="B158" s="45">
        <v>440000.0</v>
      </c>
      <c r="C158" s="45">
        <v>640000.0</v>
      </c>
      <c r="D158" s="45">
        <v>480000.0</v>
      </c>
      <c r="E158" s="45">
        <v>480000.0</v>
      </c>
      <c r="F158" s="45">
        <v>640000.0</v>
      </c>
      <c r="G158" s="45">
        <v>600000.0</v>
      </c>
      <c r="H158" s="45">
        <v>720000.0</v>
      </c>
      <c r="I158" s="45">
        <v>640000.0</v>
      </c>
      <c r="J158" s="45">
        <v>640000.0</v>
      </c>
      <c r="K158" s="45">
        <v>560000.0</v>
      </c>
      <c r="L158" s="45">
        <v>320000.0</v>
      </c>
      <c r="M158" s="45">
        <v>240000.0</v>
      </c>
      <c r="N158" s="98"/>
      <c r="O158" s="99"/>
    </row>
    <row r="159">
      <c r="A159" s="68" t="s">
        <v>25</v>
      </c>
      <c r="B159" s="72">
        <f t="shared" ref="B159:M159" si="9">B152*50%</f>
        <v>753500</v>
      </c>
      <c r="C159" s="72">
        <f t="shared" si="9"/>
        <v>812500</v>
      </c>
      <c r="D159" s="72">
        <f t="shared" si="9"/>
        <v>1008500</v>
      </c>
      <c r="E159" s="72">
        <f t="shared" si="9"/>
        <v>942500</v>
      </c>
      <c r="F159" s="72">
        <f t="shared" si="9"/>
        <v>1101000</v>
      </c>
      <c r="G159" s="72">
        <f t="shared" si="9"/>
        <v>1115000</v>
      </c>
      <c r="H159" s="72">
        <f t="shared" si="9"/>
        <v>1617500</v>
      </c>
      <c r="I159" s="72">
        <f t="shared" si="9"/>
        <v>1307500</v>
      </c>
      <c r="J159" s="72">
        <f t="shared" si="9"/>
        <v>1052500</v>
      </c>
      <c r="K159" s="72">
        <f t="shared" si="9"/>
        <v>1202000</v>
      </c>
      <c r="L159" s="72">
        <f t="shared" si="9"/>
        <v>1040000</v>
      </c>
      <c r="M159" s="72">
        <f t="shared" si="9"/>
        <v>1147500</v>
      </c>
      <c r="N159" s="102" t="s">
        <v>250</v>
      </c>
      <c r="O159" s="103">
        <f>N152/N145</f>
        <v>0.1099023254</v>
      </c>
    </row>
    <row r="160">
      <c r="A160" s="17" t="s">
        <v>100</v>
      </c>
      <c r="B160" s="104">
        <f t="shared" ref="B160:M160" si="10">SUM(B156:B158)-B159</f>
        <v>5912100</v>
      </c>
      <c r="C160" s="104">
        <f t="shared" si="10"/>
        <v>3672500</v>
      </c>
      <c r="D160" s="104">
        <f t="shared" si="10"/>
        <v>3085700</v>
      </c>
      <c r="E160" s="104">
        <f t="shared" si="10"/>
        <v>3064000</v>
      </c>
      <c r="F160" s="104">
        <f t="shared" si="10"/>
        <v>4194000</v>
      </c>
      <c r="G160" s="104">
        <f t="shared" si="10"/>
        <v>4973000</v>
      </c>
      <c r="H160" s="104">
        <f t="shared" si="10"/>
        <v>4465500</v>
      </c>
      <c r="I160" s="104">
        <f t="shared" si="10"/>
        <v>5113000</v>
      </c>
      <c r="J160" s="104">
        <f t="shared" si="10"/>
        <v>6059000</v>
      </c>
      <c r="K160" s="104">
        <f t="shared" si="10"/>
        <v>7405200</v>
      </c>
      <c r="L160" s="104">
        <f t="shared" si="10"/>
        <v>6146200</v>
      </c>
      <c r="M160" s="104">
        <f t="shared" si="10"/>
        <v>5489250</v>
      </c>
      <c r="N160" s="98">
        <f>SUM(B160:M160)</f>
        <v>59579450</v>
      </c>
      <c r="O160" s="98">
        <f>N160/12</f>
        <v>4964954.167</v>
      </c>
    </row>
    <row r="161"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</row>
    <row r="162">
      <c r="A162" s="69" t="s">
        <v>166</v>
      </c>
      <c r="B162" s="72">
        <f t="shared" ref="B162:F162" si="11">SUM(B114:B129)*70%</f>
        <v>3378200</v>
      </c>
      <c r="C162" s="72">
        <f t="shared" si="11"/>
        <v>3304000</v>
      </c>
      <c r="D162" s="72">
        <f t="shared" si="11"/>
        <v>3766000</v>
      </c>
      <c r="E162" s="72">
        <f t="shared" si="11"/>
        <v>4403000</v>
      </c>
      <c r="F162" s="72">
        <f t="shared" si="11"/>
        <v>2380700</v>
      </c>
      <c r="G162" s="105"/>
      <c r="H162" s="105"/>
      <c r="I162" s="105"/>
      <c r="J162" s="105"/>
      <c r="K162" s="105"/>
      <c r="L162" s="105"/>
      <c r="M162" s="105"/>
    </row>
    <row r="163">
      <c r="A163" s="70" t="s">
        <v>167</v>
      </c>
      <c r="B163" s="72">
        <f>SUM(B138:B142)*70%</f>
        <v>1358000</v>
      </c>
      <c r="C163" s="72">
        <f>SUM(C130:C142)*70%</f>
        <v>1094800</v>
      </c>
      <c r="D163" s="72">
        <f t="shared" ref="D163:E163" si="12">SUM(D130:D143)*70%</f>
        <v>1435000</v>
      </c>
      <c r="E163" s="72">
        <f t="shared" si="12"/>
        <v>1915200</v>
      </c>
      <c r="F163" s="72">
        <f t="shared" ref="F163:M163" si="13">SUM(F130:F144)*70%</f>
        <v>1917300</v>
      </c>
      <c r="G163" s="72">
        <f t="shared" si="13"/>
        <v>1568000</v>
      </c>
      <c r="H163" s="72">
        <f t="shared" si="13"/>
        <v>1155000</v>
      </c>
      <c r="I163" s="72">
        <f t="shared" si="13"/>
        <v>763000</v>
      </c>
      <c r="J163" s="72">
        <f t="shared" si="13"/>
        <v>0</v>
      </c>
      <c r="K163" s="72">
        <f t="shared" si="13"/>
        <v>0</v>
      </c>
      <c r="L163" s="72">
        <f t="shared" si="13"/>
        <v>0</v>
      </c>
      <c r="M163" s="72">
        <f t="shared" si="13"/>
        <v>0</v>
      </c>
    </row>
    <row r="164"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</row>
    <row r="165">
      <c r="A165" s="17" t="s">
        <v>251</v>
      </c>
      <c r="B165" s="72">
        <f t="shared" ref="B165:M165" si="14">(B66+B69+B71+B77+B78+B80+B82+B86+B103+B105+B109+B112+B138+B140)/4000</f>
        <v>722.5</v>
      </c>
      <c r="C165" s="72">
        <f t="shared" si="14"/>
        <v>963.75</v>
      </c>
      <c r="D165" s="72">
        <f t="shared" si="14"/>
        <v>751</v>
      </c>
      <c r="E165" s="72">
        <f t="shared" si="14"/>
        <v>648.75</v>
      </c>
      <c r="F165" s="72">
        <f t="shared" si="14"/>
        <v>452.75</v>
      </c>
      <c r="G165" s="72">
        <f t="shared" si="14"/>
        <v>394</v>
      </c>
      <c r="H165" s="72">
        <f t="shared" si="14"/>
        <v>375</v>
      </c>
      <c r="I165" s="72">
        <f t="shared" si="14"/>
        <v>361.75</v>
      </c>
      <c r="J165" s="72">
        <f t="shared" si="14"/>
        <v>321.5</v>
      </c>
      <c r="K165" s="72">
        <f t="shared" si="14"/>
        <v>375</v>
      </c>
      <c r="L165" s="72">
        <f t="shared" si="14"/>
        <v>580</v>
      </c>
      <c r="M165" s="72">
        <f t="shared" si="14"/>
        <v>579.75</v>
      </c>
      <c r="N165" s="72">
        <f>SUM(B165:M165)</f>
        <v>6525.75</v>
      </c>
      <c r="O165" s="72">
        <f>N165/12</f>
        <v>543.8125</v>
      </c>
    </row>
    <row r="166"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</row>
    <row r="167">
      <c r="A167" s="17" t="s">
        <v>28</v>
      </c>
      <c r="B167" s="106">
        <f t="shared" ref="B167:J167" si="15">B154-B160-B162-B163</f>
        <v>16192700</v>
      </c>
      <c r="C167" s="106">
        <f t="shared" si="15"/>
        <v>9922700</v>
      </c>
      <c r="D167" s="106">
        <f t="shared" si="15"/>
        <v>9046300</v>
      </c>
      <c r="E167" s="106">
        <f t="shared" si="15"/>
        <v>10058800</v>
      </c>
      <c r="F167" s="106">
        <f t="shared" si="15"/>
        <v>8962000</v>
      </c>
      <c r="G167" s="106">
        <f t="shared" si="15"/>
        <v>8506000</v>
      </c>
      <c r="H167" s="106">
        <f t="shared" si="15"/>
        <v>9715500</v>
      </c>
      <c r="I167" s="106">
        <f t="shared" si="15"/>
        <v>9037000</v>
      </c>
      <c r="J167" s="106">
        <f t="shared" si="15"/>
        <v>9648000</v>
      </c>
      <c r="K167" s="106">
        <f t="shared" ref="K167:M167" si="16">K154-K160</f>
        <v>11302800</v>
      </c>
      <c r="L167" s="106">
        <f t="shared" si="16"/>
        <v>11450800</v>
      </c>
      <c r="M167" s="106">
        <f t="shared" si="16"/>
        <v>10333250</v>
      </c>
      <c r="N167" s="72">
        <f t="shared" ref="N167:N168" si="17">SUM(B167:M167)</f>
        <v>124175850</v>
      </c>
      <c r="O167" s="72">
        <f t="shared" ref="O167:O169" si="18">N167/12</f>
        <v>10347987.5</v>
      </c>
    </row>
    <row r="168">
      <c r="A168" s="17" t="s">
        <v>252</v>
      </c>
      <c r="B168" s="72"/>
      <c r="C168" s="72"/>
      <c r="D168" s="72"/>
      <c r="E168" s="72"/>
      <c r="F168" s="45">
        <v>450000.0</v>
      </c>
      <c r="G168" s="72"/>
      <c r="H168" s="45">
        <v>265000.0</v>
      </c>
      <c r="I168" s="45">
        <v>2655000.0</v>
      </c>
      <c r="J168" s="45">
        <v>1300000.0</v>
      </c>
      <c r="K168" s="45">
        <v>650000.0</v>
      </c>
      <c r="L168" s="45">
        <v>3800000.0</v>
      </c>
      <c r="M168" s="45">
        <v>1000000.0</v>
      </c>
      <c r="N168" s="72">
        <f t="shared" si="17"/>
        <v>10120000</v>
      </c>
      <c r="O168" s="72">
        <f t="shared" si="18"/>
        <v>843333.3333</v>
      </c>
    </row>
    <row r="169">
      <c r="A169" s="17" t="s">
        <v>253</v>
      </c>
      <c r="B169" s="72">
        <f t="shared" ref="B169:E169" si="19">SUM(B167:B168)</f>
        <v>16192700</v>
      </c>
      <c r="C169" s="72">
        <f t="shared" si="19"/>
        <v>9922700</v>
      </c>
      <c r="D169" s="72">
        <f t="shared" si="19"/>
        <v>9046300</v>
      </c>
      <c r="E169" s="72">
        <f t="shared" si="19"/>
        <v>10058800</v>
      </c>
      <c r="F169" s="72">
        <f t="shared" ref="F169:M169" si="20">F167+F168</f>
        <v>9412000</v>
      </c>
      <c r="G169" s="72">
        <f t="shared" si="20"/>
        <v>8506000</v>
      </c>
      <c r="H169" s="72">
        <f t="shared" si="20"/>
        <v>9980500</v>
      </c>
      <c r="I169" s="72">
        <f t="shared" si="20"/>
        <v>11692000</v>
      </c>
      <c r="J169" s="72">
        <f t="shared" si="20"/>
        <v>10948000</v>
      </c>
      <c r="K169" s="72">
        <f t="shared" si="20"/>
        <v>11952800</v>
      </c>
      <c r="L169" s="72">
        <f t="shared" si="20"/>
        <v>15250800</v>
      </c>
      <c r="M169" s="72">
        <f t="shared" si="20"/>
        <v>11333250</v>
      </c>
      <c r="N169" s="72">
        <f>sum(B169:M169)</f>
        <v>134295850</v>
      </c>
      <c r="O169" s="72">
        <f t="shared" si="18"/>
        <v>11191320.83</v>
      </c>
    </row>
    <row r="172">
      <c r="G172" s="17" t="s">
        <v>254</v>
      </c>
    </row>
    <row r="173">
      <c r="F173" s="17" t="s">
        <v>255</v>
      </c>
      <c r="G173" s="17" t="s">
        <v>256</v>
      </c>
    </row>
    <row r="174">
      <c r="F174" s="45">
        <f>G174/100</f>
        <v>2800</v>
      </c>
      <c r="G174" s="45">
        <v>280000.0</v>
      </c>
      <c r="H174" s="17" t="s">
        <v>257</v>
      </c>
      <c r="I174" s="17" t="s">
        <v>258</v>
      </c>
    </row>
    <row r="175">
      <c r="F175" s="45">
        <f>G175/80</f>
        <v>35340</v>
      </c>
      <c r="G175" s="45">
        <v>2827200.0</v>
      </c>
      <c r="H175" s="17" t="s">
        <v>259</v>
      </c>
    </row>
    <row r="176">
      <c r="F176" s="45">
        <f>G176/100</f>
        <v>4080</v>
      </c>
      <c r="G176" s="45">
        <v>408000.0</v>
      </c>
      <c r="H176" s="17" t="s">
        <v>260</v>
      </c>
    </row>
    <row r="177">
      <c r="F177" s="45">
        <f>G177/80</f>
        <v>41531</v>
      </c>
      <c r="G177" s="45">
        <v>3322480.0</v>
      </c>
      <c r="H177" s="17" t="s">
        <v>261</v>
      </c>
    </row>
    <row r="178">
      <c r="F178" s="72"/>
      <c r="G178" s="72"/>
    </row>
    <row r="179">
      <c r="E179" s="17" t="s">
        <v>262</v>
      </c>
      <c r="F179" s="72">
        <f t="shared" ref="F179:G179" si="21">SUM(F174:F178)</f>
        <v>83751</v>
      </c>
      <c r="G179" s="72">
        <f t="shared" si="21"/>
        <v>6837680</v>
      </c>
      <c r="H179" s="17" t="s">
        <v>28</v>
      </c>
    </row>
    <row r="180" ht="18.75" customHeight="1">
      <c r="G180" s="72"/>
    </row>
    <row r="181" ht="18.75" customHeight="1">
      <c r="E181" s="17">
        <v>17.0</v>
      </c>
      <c r="F181" s="72">
        <f>F179*E181</f>
        <v>1423767</v>
      </c>
      <c r="G181" s="17" t="s">
        <v>263</v>
      </c>
    </row>
    <row r="182" ht="18.75" customHeight="1">
      <c r="E182" s="17">
        <v>23.0</v>
      </c>
      <c r="F182" s="72">
        <f>F179*E182</f>
        <v>1926273</v>
      </c>
      <c r="G182" s="17" t="s">
        <v>264</v>
      </c>
    </row>
    <row r="183" ht="18.75" customHeight="1">
      <c r="E183" s="17">
        <v>40.0</v>
      </c>
      <c r="F183" s="72">
        <f>F179*E183</f>
        <v>3350040</v>
      </c>
      <c r="G183" s="17" t="s">
        <v>265</v>
      </c>
    </row>
    <row r="184" ht="18.75" customHeight="1"/>
    <row r="185" ht="18.75" customHeight="1">
      <c r="E185" s="17" t="s">
        <v>266</v>
      </c>
      <c r="F185" s="45">
        <v>1252000.0</v>
      </c>
    </row>
    <row r="186">
      <c r="E186" s="17" t="s">
        <v>267</v>
      </c>
      <c r="F186" s="72">
        <f>F183-F185</f>
        <v>2098040</v>
      </c>
    </row>
    <row r="187" ht="17.25" customHeight="1">
      <c r="E187" s="17" t="s">
        <v>268</v>
      </c>
      <c r="F187" s="45">
        <v>1500000.0</v>
      </c>
      <c r="G187" s="45"/>
    </row>
    <row r="188" ht="21.0" customHeight="1">
      <c r="E188" s="17" t="s">
        <v>267</v>
      </c>
      <c r="F188" s="45">
        <f>F186-F187</f>
        <v>598040</v>
      </c>
      <c r="G188" s="45"/>
    </row>
    <row r="189" ht="21.0" customHeight="1">
      <c r="E189" s="17" t="s">
        <v>269</v>
      </c>
      <c r="F189" s="45">
        <v>249000.0</v>
      </c>
    </row>
    <row r="190" ht="17.25" customHeight="1">
      <c r="E190" s="17" t="s">
        <v>267</v>
      </c>
      <c r="F190" s="72">
        <f>F188-F189</f>
        <v>349040</v>
      </c>
    </row>
    <row r="191" ht="17.25" customHeight="1"/>
    <row r="192" ht="15.0" customHeight="1"/>
    <row r="194" ht="18.0" customHeight="1"/>
    <row r="196" ht="13.5" customHeight="1"/>
    <row r="199" ht="15.0" customHeight="1"/>
    <row r="200" ht="15.0" customHeight="1"/>
    <row r="201" ht="15.0" customHeight="1"/>
    <row r="202" ht="16.5" customHeight="1"/>
    <row r="206" ht="20.25" customHeight="1"/>
    <row r="207" ht="20.25" customHeight="1"/>
    <row r="209">
      <c r="C209" s="72"/>
    </row>
    <row r="210">
      <c r="C210" s="72"/>
    </row>
    <row r="211">
      <c r="C211" s="72"/>
    </row>
    <row r="212">
      <c r="C212" s="72"/>
    </row>
    <row r="213">
      <c r="C213" s="72"/>
    </row>
    <row r="214">
      <c r="C214" s="72"/>
    </row>
    <row r="215">
      <c r="C215" s="72"/>
    </row>
    <row r="216">
      <c r="B216" s="79"/>
      <c r="C216" s="72"/>
    </row>
    <row r="217">
      <c r="B217" s="79"/>
      <c r="C217" s="72"/>
    </row>
    <row r="218">
      <c r="B218" s="79"/>
      <c r="C218" s="72"/>
    </row>
    <row r="219">
      <c r="B219" s="79"/>
      <c r="C219" s="72"/>
    </row>
    <row r="220">
      <c r="A220" s="78"/>
      <c r="B220" s="79"/>
      <c r="C220" s="72"/>
    </row>
    <row r="221">
      <c r="A221" s="49"/>
      <c r="C221" s="72"/>
    </row>
    <row r="222">
      <c r="A222" s="49"/>
      <c r="B222" s="17"/>
      <c r="C222" s="72"/>
    </row>
    <row r="223">
      <c r="A223" s="49"/>
      <c r="B223" s="17"/>
      <c r="C223" s="72"/>
    </row>
    <row r="224">
      <c r="A224" s="49"/>
      <c r="B224" s="17"/>
      <c r="C224" s="72"/>
    </row>
    <row r="225">
      <c r="A225" s="49"/>
      <c r="B225" s="17"/>
      <c r="C225" s="72"/>
    </row>
    <row r="226">
      <c r="A226" s="49"/>
      <c r="B226" s="17"/>
      <c r="C226" s="72"/>
    </row>
    <row r="227">
      <c r="A227" s="49"/>
      <c r="B227" s="17"/>
      <c r="C227" s="72"/>
    </row>
    <row r="228">
      <c r="A228" s="49"/>
      <c r="B228" s="17"/>
      <c r="C228" s="72"/>
    </row>
    <row r="229">
      <c r="A229" s="49"/>
      <c r="B229" s="17"/>
      <c r="C229" s="72"/>
    </row>
    <row r="230">
      <c r="A230" s="49"/>
      <c r="B230" s="17"/>
      <c r="C230" s="72"/>
    </row>
    <row r="231">
      <c r="A231" s="49"/>
      <c r="B231" s="17"/>
      <c r="C231" s="72"/>
    </row>
    <row r="232">
      <c r="A232" s="49"/>
      <c r="B232" s="17"/>
      <c r="C232" s="72"/>
    </row>
    <row r="233">
      <c r="A233" s="49"/>
      <c r="B233" s="17"/>
      <c r="C233" s="72"/>
    </row>
    <row r="234">
      <c r="A234" s="49"/>
      <c r="B234" s="17"/>
      <c r="C234" s="72"/>
    </row>
    <row r="235">
      <c r="A235" s="49"/>
      <c r="B235" s="17"/>
      <c r="C235" s="72"/>
    </row>
    <row r="236">
      <c r="A236" s="49"/>
      <c r="B236" s="17"/>
      <c r="C236" s="72"/>
    </row>
    <row r="237">
      <c r="A237" s="49"/>
      <c r="B237" s="17"/>
      <c r="C237" s="72"/>
    </row>
    <row r="238">
      <c r="A238" s="49"/>
      <c r="B238" s="17"/>
      <c r="C238" s="72"/>
    </row>
    <row r="239">
      <c r="A239" s="49"/>
      <c r="B239" s="17"/>
      <c r="C239" s="72"/>
    </row>
    <row r="240">
      <c r="A240" s="49"/>
      <c r="B240" s="17"/>
      <c r="C240" s="72"/>
    </row>
    <row r="241">
      <c r="A241" s="49"/>
      <c r="B241" s="17"/>
      <c r="C241" s="72"/>
    </row>
    <row r="242">
      <c r="A242" s="49"/>
      <c r="B242" s="17"/>
      <c r="C242" s="72"/>
    </row>
    <row r="243">
      <c r="A243" s="49"/>
      <c r="B243" s="17"/>
      <c r="C243" s="72"/>
    </row>
    <row r="244">
      <c r="A244" s="49"/>
      <c r="B244" s="17"/>
      <c r="C244" s="72"/>
    </row>
    <row r="245">
      <c r="A245" s="49"/>
      <c r="B245" s="17"/>
      <c r="C245" s="72"/>
    </row>
    <row r="246">
      <c r="A246" s="17"/>
      <c r="B246" s="17"/>
      <c r="C246" s="72"/>
    </row>
    <row r="247">
      <c r="A247" s="17"/>
      <c r="B247" s="17"/>
      <c r="C247" s="72"/>
    </row>
    <row r="248">
      <c r="A248" s="17"/>
      <c r="B248" s="17"/>
      <c r="C248" s="72"/>
    </row>
    <row r="249">
      <c r="A249" s="17"/>
      <c r="B249" s="17"/>
      <c r="C249" s="72"/>
    </row>
    <row r="250">
      <c r="A250" s="17"/>
      <c r="B250" s="17"/>
    </row>
    <row r="254">
      <c r="E254" s="19"/>
    </row>
    <row r="257">
      <c r="A257" s="17"/>
      <c r="B257" s="17"/>
      <c r="C257" s="19"/>
    </row>
    <row r="258">
      <c r="A258" s="17"/>
      <c r="B258" s="17"/>
      <c r="C258" s="19"/>
    </row>
    <row r="260">
      <c r="D260" s="19"/>
      <c r="E260" s="17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2.13"/>
    <col customWidth="1" min="3" max="3" width="11.63"/>
    <col customWidth="1" min="4" max="4" width="12.25"/>
    <col customWidth="1" min="5" max="6" width="12.0"/>
    <col customWidth="1" min="7" max="7" width="10.63"/>
    <col customWidth="1" min="8" max="8" width="11.0"/>
    <col customWidth="1" min="9" max="9" width="11.75"/>
    <col customWidth="1" min="10" max="10" width="11.0"/>
    <col customWidth="1" min="11" max="11" width="11.13"/>
    <col customWidth="1" min="12" max="12" width="11.38"/>
    <col customWidth="1" min="13" max="13" width="10.63"/>
    <col customWidth="1" min="20" max="20" width="21.38"/>
    <col customWidth="1" min="24" max="24" width="22.75"/>
    <col customWidth="1" min="29" max="29" width="21.75"/>
    <col customWidth="1" min="38" max="38" width="20.38"/>
  </cols>
  <sheetData>
    <row r="1">
      <c r="A1" s="107">
        <v>0.0</v>
      </c>
      <c r="B1" s="108"/>
      <c r="C1" s="109"/>
      <c r="D1" s="109"/>
      <c r="E1" s="108"/>
      <c r="F1" s="108"/>
      <c r="G1" s="108"/>
      <c r="H1" s="108"/>
      <c r="I1" s="108"/>
      <c r="J1" s="108"/>
      <c r="K1" s="108"/>
      <c r="L1" s="108"/>
      <c r="M1" s="108"/>
      <c r="P1" s="67" t="s">
        <v>270</v>
      </c>
      <c r="Q1" s="110"/>
      <c r="R1" s="111"/>
      <c r="S1" s="112"/>
      <c r="T1" s="113" t="s">
        <v>271</v>
      </c>
      <c r="U1" s="114"/>
      <c r="V1" s="114"/>
      <c r="W1" s="114"/>
      <c r="X1" s="115" t="s">
        <v>272</v>
      </c>
      <c r="Y1" s="116"/>
      <c r="Z1" s="116"/>
      <c r="AA1" s="116"/>
      <c r="AC1" s="99"/>
      <c r="AD1" s="96" t="s">
        <v>273</v>
      </c>
      <c r="AE1" s="99"/>
      <c r="AF1" s="99"/>
      <c r="AH1" s="112"/>
      <c r="AI1" s="67" t="s">
        <v>274</v>
      </c>
      <c r="AJ1" s="112"/>
      <c r="AK1" s="112"/>
      <c r="AM1" s="17" t="s">
        <v>275</v>
      </c>
      <c r="AP1" s="31" t="s">
        <v>276</v>
      </c>
      <c r="AQ1" s="117"/>
      <c r="AR1" s="117"/>
      <c r="AS1" s="117"/>
    </row>
    <row r="2">
      <c r="A2" s="108"/>
      <c r="B2" s="108"/>
      <c r="C2" s="108"/>
      <c r="D2" s="118" t="s">
        <v>277</v>
      </c>
      <c r="E2" s="108"/>
      <c r="F2" s="108"/>
      <c r="G2" s="108"/>
      <c r="H2" s="108"/>
      <c r="I2" s="108"/>
      <c r="J2" s="108"/>
      <c r="K2" s="108"/>
      <c r="L2" s="108"/>
      <c r="M2" s="108"/>
      <c r="P2" s="112"/>
      <c r="Q2" s="110"/>
      <c r="R2" s="111"/>
      <c r="S2" s="112"/>
      <c r="T2" s="114"/>
      <c r="U2" s="114"/>
      <c r="V2" s="114"/>
      <c r="W2" s="114"/>
      <c r="X2" s="116"/>
      <c r="Y2" s="116"/>
      <c r="Z2" s="116"/>
      <c r="AA2" s="115"/>
      <c r="AB2" s="17"/>
      <c r="AC2" s="99"/>
      <c r="AD2" s="99"/>
      <c r="AE2" s="99"/>
      <c r="AF2" s="99"/>
      <c r="AG2" s="17"/>
      <c r="AH2" s="112"/>
      <c r="AI2" s="112"/>
      <c r="AJ2" s="112"/>
      <c r="AK2" s="112"/>
      <c r="AP2" s="117"/>
      <c r="AQ2" s="117"/>
      <c r="AR2" s="117"/>
      <c r="AS2" s="117"/>
    </row>
    <row r="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P3" s="67" t="s">
        <v>278</v>
      </c>
      <c r="Q3" s="110">
        <v>45273.0</v>
      </c>
      <c r="R3" s="111">
        <v>380000.0</v>
      </c>
      <c r="S3" s="112"/>
      <c r="T3" s="113" t="s">
        <v>279</v>
      </c>
      <c r="U3" s="119">
        <v>45320.0</v>
      </c>
      <c r="V3" s="120">
        <v>450000.0</v>
      </c>
      <c r="W3" s="114"/>
      <c r="X3" s="115" t="s">
        <v>280</v>
      </c>
      <c r="Y3" s="121">
        <v>45345.0</v>
      </c>
      <c r="Z3" s="122">
        <v>450000.0</v>
      </c>
      <c r="AA3" s="116"/>
      <c r="AC3" s="96" t="s">
        <v>281</v>
      </c>
      <c r="AD3" s="123">
        <v>45381.0</v>
      </c>
      <c r="AE3" s="124">
        <v>300000.0</v>
      </c>
      <c r="AF3" s="99"/>
      <c r="AH3" s="67" t="s">
        <v>282</v>
      </c>
      <c r="AI3" s="110">
        <v>45411.0</v>
      </c>
      <c r="AJ3" s="111">
        <v>250000.0</v>
      </c>
      <c r="AK3" s="112"/>
      <c r="AL3" s="17" t="s">
        <v>283</v>
      </c>
      <c r="AM3" s="44">
        <v>45439.0</v>
      </c>
      <c r="AN3" s="45">
        <v>300000.0</v>
      </c>
      <c r="AP3" s="31" t="s">
        <v>284</v>
      </c>
      <c r="AQ3" s="125">
        <v>45461.0</v>
      </c>
      <c r="AR3" s="126">
        <v>394000.0</v>
      </c>
      <c r="AS3" s="117"/>
    </row>
    <row r="4" ht="22.5" customHeight="1">
      <c r="A4" s="127" t="s">
        <v>1</v>
      </c>
      <c r="B4" s="127" t="s">
        <v>30</v>
      </c>
      <c r="C4" s="127" t="s">
        <v>31</v>
      </c>
      <c r="D4" s="127" t="s">
        <v>32</v>
      </c>
      <c r="E4" s="127" t="s">
        <v>33</v>
      </c>
      <c r="F4" s="127" t="s">
        <v>34</v>
      </c>
      <c r="G4" s="127" t="s">
        <v>35</v>
      </c>
      <c r="H4" s="127" t="s">
        <v>36</v>
      </c>
      <c r="I4" s="127" t="s">
        <v>2</v>
      </c>
      <c r="J4" s="127" t="s">
        <v>3</v>
      </c>
      <c r="K4" s="127" t="s">
        <v>4</v>
      </c>
      <c r="L4" s="127" t="s">
        <v>5</v>
      </c>
      <c r="M4" s="127" t="s">
        <v>6</v>
      </c>
      <c r="N4" s="128" t="s">
        <v>285</v>
      </c>
      <c r="O4" s="128" t="s">
        <v>286</v>
      </c>
      <c r="P4" s="67" t="s">
        <v>287</v>
      </c>
      <c r="Q4" s="110">
        <v>45275.0</v>
      </c>
      <c r="R4" s="111">
        <v>310000.0</v>
      </c>
      <c r="S4" s="112"/>
      <c r="T4" s="113" t="s">
        <v>288</v>
      </c>
      <c r="U4" s="119">
        <v>45321.0</v>
      </c>
      <c r="V4" s="120">
        <v>250000.0</v>
      </c>
      <c r="W4" s="114"/>
      <c r="X4" s="115" t="s">
        <v>289</v>
      </c>
      <c r="Y4" s="121">
        <v>45350.0</v>
      </c>
      <c r="Z4" s="122">
        <v>300000.0</v>
      </c>
      <c r="AA4" s="116"/>
      <c r="AC4" s="96" t="s">
        <v>290</v>
      </c>
      <c r="AD4" s="123">
        <v>45381.0</v>
      </c>
      <c r="AE4" s="124">
        <v>250000.0</v>
      </c>
      <c r="AF4" s="99"/>
      <c r="AH4" s="67" t="s">
        <v>291</v>
      </c>
      <c r="AI4" s="110">
        <v>45412.0</v>
      </c>
      <c r="AJ4" s="111">
        <v>250000.0</v>
      </c>
      <c r="AK4" s="112"/>
      <c r="AL4" s="17" t="s">
        <v>292</v>
      </c>
      <c r="AM4" s="44">
        <v>45443.0</v>
      </c>
      <c r="AN4" s="45">
        <v>250000.0</v>
      </c>
      <c r="AP4" s="31" t="s">
        <v>293</v>
      </c>
      <c r="AQ4" s="125">
        <v>45469.0</v>
      </c>
      <c r="AR4" s="126">
        <v>320000.0</v>
      </c>
      <c r="AS4" s="117"/>
    </row>
    <row r="5" ht="22.5" customHeight="1">
      <c r="A5" s="129" t="s">
        <v>119</v>
      </c>
      <c r="B5" s="130">
        <v>250000.0</v>
      </c>
      <c r="C5" s="130">
        <v>250000.0</v>
      </c>
      <c r="D5" s="130">
        <v>250000.0</v>
      </c>
      <c r="E5" s="130">
        <v>250000.0</v>
      </c>
      <c r="F5" s="130">
        <v>250000.0</v>
      </c>
      <c r="G5" s="130">
        <v>250000.0</v>
      </c>
      <c r="H5" s="130">
        <v>250000.0</v>
      </c>
      <c r="I5" s="130">
        <v>250000.0</v>
      </c>
      <c r="J5" s="130">
        <v>250000.0</v>
      </c>
      <c r="K5" s="130">
        <v>250000.0</v>
      </c>
      <c r="L5" s="130">
        <v>250000.0</v>
      </c>
      <c r="M5" s="130">
        <v>250000.0</v>
      </c>
      <c r="N5" s="131"/>
      <c r="O5" s="131"/>
      <c r="P5" s="67" t="s">
        <v>294</v>
      </c>
      <c r="Q5" s="110">
        <v>45287.0</v>
      </c>
      <c r="R5" s="111">
        <v>2400000.0</v>
      </c>
      <c r="S5" s="112"/>
      <c r="T5" s="113" t="s">
        <v>281</v>
      </c>
      <c r="U5" s="119">
        <v>45321.0</v>
      </c>
      <c r="V5" s="120">
        <v>250000.0</v>
      </c>
      <c r="W5" s="114"/>
      <c r="X5" s="115" t="s">
        <v>295</v>
      </c>
      <c r="Y5" s="121">
        <v>45350.0</v>
      </c>
      <c r="Z5" s="122">
        <v>250000.0</v>
      </c>
      <c r="AA5" s="116"/>
      <c r="AC5" s="96" t="s">
        <v>296</v>
      </c>
      <c r="AD5" s="123">
        <v>45381.0</v>
      </c>
      <c r="AE5" s="124">
        <v>250000.0</v>
      </c>
      <c r="AF5" s="99"/>
      <c r="AH5" s="67" t="s">
        <v>297</v>
      </c>
      <c r="AI5" s="110">
        <v>45413.0</v>
      </c>
      <c r="AJ5" s="111">
        <v>250000.0</v>
      </c>
      <c r="AK5" s="112"/>
      <c r="AL5" s="17" t="s">
        <v>298</v>
      </c>
      <c r="AM5" s="44">
        <v>45442.0</v>
      </c>
      <c r="AN5" s="45">
        <v>320000.0</v>
      </c>
      <c r="AP5" s="31" t="s">
        <v>283</v>
      </c>
      <c r="AQ5" s="125">
        <v>45470.0</v>
      </c>
      <c r="AR5" s="126">
        <v>300000.0</v>
      </c>
      <c r="AS5" s="117"/>
    </row>
    <row r="6" ht="22.5" customHeight="1">
      <c r="A6" s="132" t="s">
        <v>299</v>
      </c>
      <c r="B6" s="133"/>
      <c r="C6" s="133"/>
      <c r="D6" s="133"/>
      <c r="E6" s="130">
        <v>320000.0</v>
      </c>
      <c r="F6" s="130">
        <v>320000.0</v>
      </c>
      <c r="G6" s="130">
        <v>320000.0</v>
      </c>
      <c r="H6" s="130">
        <v>320000.0</v>
      </c>
      <c r="I6" s="130">
        <v>320000.0</v>
      </c>
      <c r="J6" s="130">
        <v>320000.0</v>
      </c>
      <c r="K6" s="130">
        <v>320000.0</v>
      </c>
      <c r="L6" s="130">
        <v>320000.0</v>
      </c>
      <c r="M6" s="130">
        <v>320000.0</v>
      </c>
      <c r="N6" s="131"/>
      <c r="O6" s="131"/>
      <c r="P6" s="67"/>
      <c r="Q6" s="110"/>
      <c r="R6" s="111"/>
      <c r="S6" s="112"/>
      <c r="T6" s="113"/>
      <c r="U6" s="119"/>
      <c r="V6" s="120"/>
      <c r="W6" s="114"/>
      <c r="X6" s="115"/>
      <c r="Y6" s="121"/>
      <c r="Z6" s="122"/>
      <c r="AA6" s="116"/>
      <c r="AC6" s="96" t="s">
        <v>300</v>
      </c>
      <c r="AD6" s="123">
        <v>45383.0</v>
      </c>
      <c r="AE6" s="124">
        <v>420000.0</v>
      </c>
      <c r="AF6" s="99"/>
      <c r="AH6" s="67" t="s">
        <v>301</v>
      </c>
      <c r="AI6" s="110">
        <v>45414.0</v>
      </c>
      <c r="AJ6" s="111">
        <v>250000.0</v>
      </c>
      <c r="AK6" s="112"/>
      <c r="AL6" s="17" t="s">
        <v>288</v>
      </c>
      <c r="AM6" s="44">
        <v>45442.0</v>
      </c>
      <c r="AN6" s="45">
        <v>250000.0</v>
      </c>
      <c r="AP6" s="31" t="s">
        <v>290</v>
      </c>
      <c r="AQ6" s="125">
        <v>45471.0</v>
      </c>
      <c r="AR6" s="126">
        <v>250000.0</v>
      </c>
      <c r="AS6" s="117"/>
    </row>
    <row r="7" ht="22.5" customHeight="1">
      <c r="A7" s="132" t="s">
        <v>104</v>
      </c>
      <c r="B7" s="130">
        <v>2400000.0</v>
      </c>
      <c r="C7" s="130">
        <v>0.0</v>
      </c>
      <c r="D7" s="130">
        <v>0.0</v>
      </c>
      <c r="E7" s="130">
        <v>0.0</v>
      </c>
      <c r="F7" s="130">
        <v>0.0</v>
      </c>
      <c r="G7" s="130">
        <v>0.0</v>
      </c>
      <c r="H7" s="130">
        <v>2400000.0</v>
      </c>
      <c r="I7" s="130">
        <v>0.0</v>
      </c>
      <c r="J7" s="130">
        <v>0.0</v>
      </c>
      <c r="K7" s="130">
        <v>0.0</v>
      </c>
      <c r="L7" s="130">
        <v>0.0</v>
      </c>
      <c r="M7" s="130">
        <v>0.0</v>
      </c>
      <c r="N7" s="131"/>
      <c r="O7" s="131"/>
      <c r="P7" s="67" t="s">
        <v>302</v>
      </c>
      <c r="Q7" s="110">
        <v>45657.0</v>
      </c>
      <c r="R7" s="111">
        <v>250000.0</v>
      </c>
      <c r="S7" s="112"/>
      <c r="T7" s="113" t="s">
        <v>302</v>
      </c>
      <c r="U7" s="119">
        <v>45321.0</v>
      </c>
      <c r="V7" s="120">
        <v>250000.0</v>
      </c>
      <c r="W7" s="114"/>
      <c r="X7" s="115" t="s">
        <v>303</v>
      </c>
      <c r="Y7" s="121">
        <v>45350.0</v>
      </c>
      <c r="Z7" s="122">
        <v>250000.0</v>
      </c>
      <c r="AA7" s="116"/>
      <c r="AC7" s="96" t="s">
        <v>304</v>
      </c>
      <c r="AD7" s="123">
        <v>45384.0</v>
      </c>
      <c r="AE7" s="124">
        <v>420000.0</v>
      </c>
      <c r="AF7" s="99"/>
      <c r="AH7" s="67" t="s">
        <v>305</v>
      </c>
      <c r="AI7" s="110">
        <v>45414.0</v>
      </c>
      <c r="AJ7" s="111">
        <v>420000.0</v>
      </c>
      <c r="AK7" s="112"/>
      <c r="AL7" s="17" t="s">
        <v>306</v>
      </c>
      <c r="AM7" s="44">
        <v>45443.0</v>
      </c>
      <c r="AN7" s="45">
        <v>420000.0</v>
      </c>
      <c r="AP7" s="31" t="s">
        <v>307</v>
      </c>
      <c r="AQ7" s="125">
        <v>45475.0</v>
      </c>
      <c r="AR7" s="126">
        <v>250000.0</v>
      </c>
      <c r="AS7" s="117"/>
    </row>
    <row r="8" ht="22.5" customHeight="1">
      <c r="A8" s="132" t="s">
        <v>308</v>
      </c>
      <c r="B8" s="133"/>
      <c r="C8" s="133"/>
      <c r="D8" s="133"/>
      <c r="E8" s="133"/>
      <c r="F8" s="133"/>
      <c r="G8" s="133"/>
      <c r="H8" s="130">
        <v>320000.0</v>
      </c>
      <c r="I8" s="130">
        <v>320000.0</v>
      </c>
      <c r="J8" s="130">
        <v>320000.0</v>
      </c>
      <c r="K8" s="130">
        <v>320000.0</v>
      </c>
      <c r="L8" s="130">
        <v>160000.0</v>
      </c>
      <c r="M8" s="130">
        <v>320000.0</v>
      </c>
      <c r="N8" s="131"/>
      <c r="O8" s="131"/>
      <c r="P8" s="67"/>
      <c r="Q8" s="110"/>
      <c r="R8" s="111"/>
      <c r="S8" s="112"/>
      <c r="T8" s="113"/>
      <c r="U8" s="119"/>
      <c r="V8" s="120"/>
      <c r="W8" s="114"/>
      <c r="X8" s="115"/>
      <c r="Y8" s="121"/>
      <c r="Z8" s="122"/>
      <c r="AA8" s="116"/>
      <c r="AC8" s="96"/>
      <c r="AD8" s="123"/>
      <c r="AE8" s="124"/>
      <c r="AF8" s="99"/>
      <c r="AH8" s="67"/>
      <c r="AI8" s="110"/>
      <c r="AJ8" s="111"/>
      <c r="AK8" s="112"/>
      <c r="AL8" s="17" t="s">
        <v>309</v>
      </c>
      <c r="AM8" s="44">
        <v>45443.0</v>
      </c>
      <c r="AN8" s="45">
        <v>250000.0</v>
      </c>
      <c r="AP8" s="31" t="s">
        <v>310</v>
      </c>
      <c r="AQ8" s="125">
        <v>45475.0</v>
      </c>
      <c r="AR8" s="126">
        <v>320000.0</v>
      </c>
      <c r="AS8" s="117"/>
    </row>
    <row r="9" ht="22.5" customHeight="1">
      <c r="A9" s="134" t="s">
        <v>311</v>
      </c>
      <c r="B9" s="133"/>
      <c r="C9" s="133"/>
      <c r="D9" s="133"/>
      <c r="E9" s="133"/>
      <c r="F9" s="133"/>
      <c r="G9" s="133"/>
      <c r="H9" s="133"/>
      <c r="I9" s="133"/>
      <c r="J9" s="133"/>
      <c r="K9" s="130">
        <v>450000.0</v>
      </c>
      <c r="L9" s="130">
        <v>900000.0</v>
      </c>
      <c r="M9" s="130">
        <v>0.0</v>
      </c>
      <c r="N9" s="131"/>
      <c r="O9" s="131"/>
      <c r="P9" s="67"/>
      <c r="Q9" s="110"/>
      <c r="R9" s="111"/>
      <c r="S9" s="112"/>
      <c r="T9" s="113"/>
      <c r="U9" s="119"/>
      <c r="V9" s="120"/>
      <c r="W9" s="114"/>
      <c r="X9" s="115"/>
      <c r="Y9" s="121"/>
      <c r="Z9" s="122"/>
      <c r="AA9" s="116"/>
      <c r="AC9" s="96"/>
      <c r="AD9" s="123"/>
      <c r="AE9" s="124"/>
      <c r="AF9" s="99"/>
      <c r="AH9" s="67"/>
      <c r="AI9" s="110"/>
      <c r="AJ9" s="111"/>
      <c r="AK9" s="112"/>
      <c r="AL9" s="17"/>
      <c r="AM9" s="44"/>
      <c r="AN9" s="45"/>
      <c r="AP9" s="31"/>
      <c r="AQ9" s="125"/>
      <c r="AR9" s="126"/>
      <c r="AS9" s="117"/>
    </row>
    <row r="10" ht="22.5" customHeight="1">
      <c r="A10" s="132" t="s">
        <v>312</v>
      </c>
      <c r="B10" s="133"/>
      <c r="C10" s="133"/>
      <c r="D10" s="133"/>
      <c r="E10" s="133"/>
      <c r="F10" s="133"/>
      <c r="G10" s="130">
        <v>450000.0</v>
      </c>
      <c r="H10" s="130">
        <v>450000.0</v>
      </c>
      <c r="I10" s="130">
        <v>450000.0</v>
      </c>
      <c r="J10" s="130">
        <v>450000.0</v>
      </c>
      <c r="K10" s="130">
        <v>450000.0</v>
      </c>
      <c r="L10" s="130">
        <v>450000.0</v>
      </c>
      <c r="M10" s="133"/>
      <c r="N10" s="131"/>
      <c r="O10" s="131"/>
      <c r="P10" s="67"/>
      <c r="Q10" s="110"/>
      <c r="R10" s="111"/>
      <c r="S10" s="112"/>
      <c r="T10" s="113"/>
      <c r="U10" s="119"/>
      <c r="V10" s="120"/>
      <c r="W10" s="114"/>
      <c r="X10" s="115"/>
      <c r="Y10" s="121"/>
      <c r="Z10" s="122"/>
      <c r="AA10" s="116"/>
      <c r="AC10" s="96"/>
      <c r="AD10" s="123"/>
      <c r="AE10" s="124"/>
      <c r="AF10" s="99"/>
      <c r="AH10" s="67" t="s">
        <v>313</v>
      </c>
      <c r="AI10" s="110">
        <v>45414.0</v>
      </c>
      <c r="AJ10" s="111">
        <v>310000.0</v>
      </c>
      <c r="AK10" s="112"/>
      <c r="AL10" s="17" t="s">
        <v>310</v>
      </c>
      <c r="AM10" s="44">
        <v>45443.0</v>
      </c>
      <c r="AN10" s="45">
        <v>320000.0</v>
      </c>
      <c r="AP10" s="31" t="s">
        <v>314</v>
      </c>
      <c r="AQ10" s="125">
        <v>45475.0</v>
      </c>
      <c r="AR10" s="126">
        <v>320000.0</v>
      </c>
      <c r="AS10" s="117"/>
    </row>
    <row r="11" ht="22.5" customHeight="1">
      <c r="A11" s="129" t="s">
        <v>175</v>
      </c>
      <c r="B11" s="133"/>
      <c r="C11" s="130">
        <v>250000.0</v>
      </c>
      <c r="D11" s="130">
        <v>250000.0</v>
      </c>
      <c r="E11" s="130">
        <v>250000.0</v>
      </c>
      <c r="F11" s="130">
        <v>250000.0</v>
      </c>
      <c r="G11" s="130">
        <v>250000.0</v>
      </c>
      <c r="H11" s="130">
        <v>250000.0</v>
      </c>
      <c r="I11" s="130">
        <v>250000.0</v>
      </c>
      <c r="J11" s="130">
        <v>250000.0</v>
      </c>
      <c r="K11" s="130">
        <v>250000.0</v>
      </c>
      <c r="L11" s="130">
        <v>250000.0</v>
      </c>
      <c r="M11" s="130">
        <v>250000.0</v>
      </c>
      <c r="N11" s="131"/>
      <c r="O11" s="131"/>
      <c r="P11" s="67" t="s">
        <v>315</v>
      </c>
      <c r="Q11" s="110">
        <v>45293.0</v>
      </c>
      <c r="R11" s="111">
        <v>2400000.0</v>
      </c>
      <c r="S11" s="112"/>
      <c r="T11" s="113" t="s">
        <v>316</v>
      </c>
      <c r="U11" s="119">
        <v>45323.0</v>
      </c>
      <c r="V11" s="120">
        <v>380000.0</v>
      </c>
      <c r="W11" s="114"/>
      <c r="X11" s="115" t="s">
        <v>290</v>
      </c>
      <c r="Y11" s="121">
        <v>45353.0</v>
      </c>
      <c r="Z11" s="122">
        <v>250000.0</v>
      </c>
      <c r="AA11" s="116"/>
      <c r="AC11" s="96" t="s">
        <v>301</v>
      </c>
      <c r="AD11" s="123">
        <v>45384.0</v>
      </c>
      <c r="AE11" s="124">
        <v>250000.0</v>
      </c>
      <c r="AF11" s="99"/>
      <c r="AH11" s="67" t="s">
        <v>317</v>
      </c>
      <c r="AI11" s="110">
        <v>45414.0</v>
      </c>
      <c r="AJ11" s="111">
        <v>420000.0</v>
      </c>
      <c r="AK11" s="112"/>
      <c r="AL11" s="17" t="s">
        <v>318</v>
      </c>
      <c r="AM11" s="44">
        <v>45443.0</v>
      </c>
      <c r="AN11" s="45">
        <v>250000.0</v>
      </c>
      <c r="AP11" s="31" t="s">
        <v>319</v>
      </c>
      <c r="AQ11" s="125">
        <v>45475.0</v>
      </c>
      <c r="AR11" s="126">
        <v>310000.0</v>
      </c>
      <c r="AS11" s="117"/>
    </row>
    <row r="12" ht="22.5" customHeight="1">
      <c r="A12" s="132" t="s">
        <v>320</v>
      </c>
      <c r="B12" s="133"/>
      <c r="C12" s="133"/>
      <c r="D12" s="133"/>
      <c r="E12" s="133"/>
      <c r="F12" s="133"/>
      <c r="G12" s="130">
        <v>320000.0</v>
      </c>
      <c r="H12" s="130">
        <v>320000.0</v>
      </c>
      <c r="I12" s="130">
        <v>320000.0</v>
      </c>
      <c r="J12" s="130">
        <v>320000.0</v>
      </c>
      <c r="K12" s="130">
        <v>320000.0</v>
      </c>
      <c r="L12" s="130">
        <v>320000.0</v>
      </c>
      <c r="M12" s="130">
        <v>320000.0</v>
      </c>
      <c r="N12" s="131"/>
      <c r="O12" s="131"/>
      <c r="P12" s="67"/>
      <c r="Q12" s="110"/>
      <c r="R12" s="111"/>
      <c r="S12" s="112"/>
      <c r="T12" s="113"/>
      <c r="U12" s="119"/>
      <c r="V12" s="120"/>
      <c r="W12" s="114"/>
      <c r="X12" s="115"/>
      <c r="Y12" s="121"/>
      <c r="Z12" s="122"/>
      <c r="AA12" s="116"/>
      <c r="AC12" s="96"/>
      <c r="AD12" s="123"/>
      <c r="AE12" s="124"/>
      <c r="AF12" s="99"/>
      <c r="AH12" s="67" t="s">
        <v>300</v>
      </c>
      <c r="AI12" s="110">
        <v>45414.0</v>
      </c>
      <c r="AJ12" s="111">
        <v>420000.0</v>
      </c>
      <c r="AK12" s="112"/>
      <c r="AL12" s="17" t="s">
        <v>319</v>
      </c>
      <c r="AM12" s="44">
        <v>45443.0</v>
      </c>
      <c r="AN12" s="45">
        <v>310000.0</v>
      </c>
      <c r="AP12" s="31" t="s">
        <v>288</v>
      </c>
      <c r="AQ12" s="125">
        <v>45475.0</v>
      </c>
      <c r="AR12" s="126">
        <v>250000.0</v>
      </c>
      <c r="AS12" s="117"/>
    </row>
    <row r="13" ht="22.5" customHeight="1">
      <c r="A13" s="132" t="s">
        <v>84</v>
      </c>
      <c r="B13" s="130">
        <v>420000.0</v>
      </c>
      <c r="C13" s="130">
        <v>420000.0</v>
      </c>
      <c r="D13" s="130">
        <v>420000.0</v>
      </c>
      <c r="E13" s="130">
        <v>420000.0</v>
      </c>
      <c r="F13" s="130">
        <v>420000.0</v>
      </c>
      <c r="G13" s="130">
        <v>420000.0</v>
      </c>
      <c r="H13" s="130">
        <v>420000.0</v>
      </c>
      <c r="I13" s="130">
        <v>420000.0</v>
      </c>
      <c r="J13" s="130">
        <v>420000.0</v>
      </c>
      <c r="K13" s="130">
        <v>420000.0</v>
      </c>
      <c r="L13" s="130">
        <v>420000.0</v>
      </c>
      <c r="M13" s="130">
        <v>420000.0</v>
      </c>
      <c r="N13" s="131"/>
      <c r="O13" s="131"/>
      <c r="P13" s="67" t="s">
        <v>295</v>
      </c>
      <c r="Q13" s="110">
        <v>45293.0</v>
      </c>
      <c r="R13" s="111">
        <v>250000.0</v>
      </c>
      <c r="S13" s="112"/>
      <c r="T13" s="113" t="s">
        <v>301</v>
      </c>
      <c r="U13" s="119">
        <v>45323.0</v>
      </c>
      <c r="V13" s="120">
        <v>250000.0</v>
      </c>
      <c r="W13" s="114"/>
      <c r="X13" s="115" t="s">
        <v>304</v>
      </c>
      <c r="Y13" s="121">
        <v>45355.0</v>
      </c>
      <c r="Z13" s="122">
        <v>420000.0</v>
      </c>
      <c r="AA13" s="116"/>
      <c r="AC13" s="96" t="s">
        <v>321</v>
      </c>
      <c r="AD13" s="123">
        <v>45384.0</v>
      </c>
      <c r="AE13" s="124">
        <v>310000.0</v>
      </c>
      <c r="AF13" s="99"/>
      <c r="AH13" s="67" t="s">
        <v>322</v>
      </c>
      <c r="AI13" s="110">
        <v>45416.0</v>
      </c>
      <c r="AJ13" s="111">
        <v>420000.0</v>
      </c>
      <c r="AK13" s="112"/>
      <c r="AL13" s="17" t="s">
        <v>301</v>
      </c>
      <c r="AM13" s="44">
        <v>45445.0</v>
      </c>
      <c r="AN13" s="45">
        <v>250000.0</v>
      </c>
      <c r="AP13" s="31" t="s">
        <v>295</v>
      </c>
      <c r="AQ13" s="125">
        <v>45475.0</v>
      </c>
      <c r="AR13" s="126">
        <v>250000.0</v>
      </c>
      <c r="AS13" s="117"/>
    </row>
    <row r="14" ht="22.5" customHeight="1">
      <c r="A14" s="134" t="s">
        <v>323</v>
      </c>
      <c r="B14" s="133"/>
      <c r="C14" s="133"/>
      <c r="D14" s="133"/>
      <c r="E14" s="133"/>
      <c r="F14" s="130">
        <v>420000.0</v>
      </c>
      <c r="G14" s="130">
        <v>380000.0</v>
      </c>
      <c r="H14" s="130">
        <v>380000.0</v>
      </c>
      <c r="I14" s="130">
        <v>380000.0</v>
      </c>
      <c r="J14" s="130">
        <v>380000.0</v>
      </c>
      <c r="K14" s="130">
        <v>380000.0</v>
      </c>
      <c r="L14" s="130">
        <v>380000.0</v>
      </c>
      <c r="M14" s="130">
        <v>380000.0</v>
      </c>
      <c r="N14" s="131"/>
      <c r="O14" s="131"/>
      <c r="P14" s="67"/>
      <c r="Q14" s="110"/>
      <c r="R14" s="111"/>
      <c r="S14" s="112"/>
      <c r="T14" s="113"/>
      <c r="U14" s="119"/>
      <c r="V14" s="120"/>
      <c r="W14" s="114"/>
      <c r="X14" s="115"/>
      <c r="Y14" s="121"/>
      <c r="Z14" s="122"/>
      <c r="AA14" s="116"/>
      <c r="AC14" s="96" t="s">
        <v>324</v>
      </c>
      <c r="AD14" s="123">
        <v>45384.0</v>
      </c>
      <c r="AE14" s="124">
        <v>250000.0</v>
      </c>
      <c r="AF14" s="99"/>
      <c r="AH14" s="67" t="s">
        <v>325</v>
      </c>
      <c r="AI14" s="110">
        <v>45418.0</v>
      </c>
      <c r="AJ14" s="111">
        <v>310000.0</v>
      </c>
      <c r="AK14" s="112"/>
      <c r="AL14" s="17" t="s">
        <v>314</v>
      </c>
      <c r="AM14" s="44">
        <v>45448.0</v>
      </c>
      <c r="AN14" s="45">
        <v>320000.0</v>
      </c>
      <c r="AP14" s="31" t="s">
        <v>300</v>
      </c>
      <c r="AQ14" s="125">
        <v>45475.0</v>
      </c>
      <c r="AR14" s="126">
        <v>420000.0</v>
      </c>
      <c r="AS14" s="117"/>
    </row>
    <row r="15" ht="22.5" customHeight="1">
      <c r="A15" s="135" t="s">
        <v>63</v>
      </c>
      <c r="B15" s="133"/>
      <c r="C15" s="130">
        <v>300000.0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6"/>
      <c r="O15" s="136"/>
      <c r="P15" s="67"/>
      <c r="Q15" s="110"/>
      <c r="R15" s="111"/>
      <c r="S15" s="112"/>
      <c r="T15" s="113" t="s">
        <v>319</v>
      </c>
      <c r="U15" s="119">
        <v>45323.0</v>
      </c>
      <c r="V15" s="120">
        <v>310000.0</v>
      </c>
      <c r="W15" s="114"/>
      <c r="X15" s="115" t="s">
        <v>279</v>
      </c>
      <c r="Y15" s="121">
        <v>45355.0</v>
      </c>
      <c r="Z15" s="122">
        <v>450000.0</v>
      </c>
      <c r="AA15" s="116"/>
      <c r="AC15" s="96" t="s">
        <v>326</v>
      </c>
      <c r="AD15" s="123">
        <v>45385.0</v>
      </c>
      <c r="AE15" s="124">
        <v>450000.0</v>
      </c>
      <c r="AF15" s="99"/>
      <c r="AH15" s="67" t="s">
        <v>327</v>
      </c>
      <c r="AI15" s="110">
        <v>45418.0</v>
      </c>
      <c r="AJ15" s="111">
        <v>250000.0</v>
      </c>
      <c r="AK15" s="112"/>
      <c r="AL15" s="17" t="s">
        <v>328</v>
      </c>
      <c r="AM15" s="44">
        <v>45448.0</v>
      </c>
      <c r="AN15" s="45">
        <v>310000.0</v>
      </c>
      <c r="AP15" s="31" t="s">
        <v>329</v>
      </c>
      <c r="AQ15" s="125">
        <v>45476.0</v>
      </c>
      <c r="AR15" s="126">
        <v>420000.0</v>
      </c>
      <c r="AS15" s="117"/>
    </row>
    <row r="16" ht="22.5" customHeight="1">
      <c r="A16" s="132" t="s">
        <v>178</v>
      </c>
      <c r="B16" s="130">
        <v>310000.0</v>
      </c>
      <c r="C16" s="130">
        <v>310000.0</v>
      </c>
      <c r="D16" s="130">
        <v>310000.0</v>
      </c>
      <c r="E16" s="130">
        <v>310000.0</v>
      </c>
      <c r="F16" s="130">
        <v>310000.0</v>
      </c>
      <c r="G16" s="130">
        <v>310000.0</v>
      </c>
      <c r="H16" s="130">
        <v>310000.0</v>
      </c>
      <c r="I16" s="130">
        <v>310000.0</v>
      </c>
      <c r="J16" s="130">
        <v>310000.0</v>
      </c>
      <c r="K16" s="130">
        <v>310000.0</v>
      </c>
      <c r="L16" s="130">
        <v>310000.0</v>
      </c>
      <c r="M16" s="130">
        <v>310000.0</v>
      </c>
      <c r="N16" s="131"/>
      <c r="O16" s="131"/>
      <c r="P16" s="67" t="s">
        <v>330</v>
      </c>
      <c r="Q16" s="110">
        <v>45294.0</v>
      </c>
      <c r="R16" s="111">
        <v>266000.0</v>
      </c>
      <c r="S16" s="112"/>
      <c r="T16" s="113" t="s">
        <v>317</v>
      </c>
      <c r="U16" s="119">
        <v>45324.0</v>
      </c>
      <c r="V16" s="120">
        <v>420000.0</v>
      </c>
      <c r="W16" s="114"/>
      <c r="X16" s="115" t="s">
        <v>313</v>
      </c>
      <c r="Y16" s="121">
        <v>45355.0</v>
      </c>
      <c r="Z16" s="122">
        <v>300000.0</v>
      </c>
      <c r="AA16" s="116"/>
      <c r="AC16" s="96" t="s">
        <v>288</v>
      </c>
      <c r="AD16" s="123">
        <v>45385.0</v>
      </c>
      <c r="AE16" s="124">
        <v>250000.0</v>
      </c>
      <c r="AF16" s="99"/>
      <c r="AH16" s="67" t="s">
        <v>319</v>
      </c>
      <c r="AI16" s="110">
        <v>45414.0</v>
      </c>
      <c r="AJ16" s="111">
        <v>310000.0</v>
      </c>
      <c r="AK16" s="112"/>
      <c r="AL16" s="17" t="s">
        <v>317</v>
      </c>
      <c r="AM16" s="44">
        <v>45449.0</v>
      </c>
      <c r="AN16" s="45">
        <v>420000.0</v>
      </c>
      <c r="AP16" s="31" t="s">
        <v>331</v>
      </c>
      <c r="AQ16" s="125">
        <v>45477.0</v>
      </c>
      <c r="AR16" s="126">
        <v>380000.0</v>
      </c>
      <c r="AS16" s="117"/>
    </row>
    <row r="17" ht="22.5" customHeight="1">
      <c r="A17" s="134" t="s">
        <v>332</v>
      </c>
      <c r="B17" s="133"/>
      <c r="C17" s="133"/>
      <c r="D17" s="133"/>
      <c r="E17" s="133"/>
      <c r="F17" s="133"/>
      <c r="G17" s="133"/>
      <c r="H17" s="130">
        <v>190000.0</v>
      </c>
      <c r="I17" s="130">
        <v>380000.0</v>
      </c>
      <c r="J17" s="130">
        <v>380000.0</v>
      </c>
      <c r="K17" s="130">
        <v>380000.0</v>
      </c>
      <c r="L17" s="130">
        <v>380000.0</v>
      </c>
      <c r="M17" s="130">
        <v>380000.0</v>
      </c>
      <c r="N17" s="131"/>
      <c r="O17" s="131"/>
      <c r="P17" s="67"/>
      <c r="Q17" s="110"/>
      <c r="R17" s="111"/>
      <c r="S17" s="112"/>
      <c r="T17" s="113"/>
      <c r="U17" s="119"/>
      <c r="V17" s="120"/>
      <c r="W17" s="114"/>
      <c r="X17" s="115"/>
      <c r="Y17" s="121"/>
      <c r="Z17" s="122"/>
      <c r="AA17" s="116"/>
      <c r="AC17" s="96"/>
      <c r="AD17" s="123"/>
      <c r="AE17" s="124"/>
      <c r="AF17" s="99"/>
      <c r="AH17" s="67"/>
      <c r="AI17" s="110"/>
      <c r="AJ17" s="111"/>
      <c r="AK17" s="112"/>
      <c r="AL17" s="17"/>
      <c r="AM17" s="44"/>
      <c r="AN17" s="45"/>
      <c r="AP17" s="31" t="s">
        <v>333</v>
      </c>
      <c r="AQ17" s="125">
        <v>45477.0</v>
      </c>
      <c r="AR17" s="126">
        <v>450000.0</v>
      </c>
      <c r="AS17" s="117"/>
    </row>
    <row r="18" ht="22.5" customHeight="1">
      <c r="A18" s="129" t="s">
        <v>334</v>
      </c>
      <c r="B18" s="133"/>
      <c r="C18" s="133"/>
      <c r="D18" s="133"/>
      <c r="E18" s="133"/>
      <c r="F18" s="133"/>
      <c r="G18" s="130">
        <v>300000.0</v>
      </c>
      <c r="H18" s="130">
        <v>300000.0</v>
      </c>
      <c r="I18" s="130">
        <v>300000.0</v>
      </c>
      <c r="J18" s="130">
        <v>300000.0</v>
      </c>
      <c r="K18" s="130">
        <v>300000.0</v>
      </c>
      <c r="L18" s="130">
        <v>300000.0</v>
      </c>
      <c r="M18" s="130">
        <v>300000.0</v>
      </c>
      <c r="N18" s="131"/>
      <c r="O18" s="131"/>
      <c r="P18" s="67"/>
      <c r="Q18" s="110"/>
      <c r="R18" s="111"/>
      <c r="S18" s="112"/>
      <c r="T18" s="113"/>
      <c r="U18" s="119"/>
      <c r="V18" s="120"/>
      <c r="W18" s="114"/>
      <c r="X18" s="115"/>
      <c r="Y18" s="121"/>
      <c r="Z18" s="122"/>
      <c r="AA18" s="116"/>
      <c r="AC18" s="96"/>
      <c r="AD18" s="123"/>
      <c r="AE18" s="124"/>
      <c r="AF18" s="99"/>
      <c r="AH18" s="67" t="s">
        <v>279</v>
      </c>
      <c r="AI18" s="110">
        <v>45418.0</v>
      </c>
      <c r="AJ18" s="111">
        <v>450000.0</v>
      </c>
      <c r="AK18" s="112"/>
      <c r="AL18" s="17" t="s">
        <v>335</v>
      </c>
      <c r="AM18" s="44">
        <v>45449.0</v>
      </c>
      <c r="AN18" s="45">
        <v>300000.0</v>
      </c>
      <c r="AP18" s="31" t="s">
        <v>324</v>
      </c>
      <c r="AQ18" s="125">
        <v>45477.0</v>
      </c>
      <c r="AR18" s="126">
        <v>250000.0</v>
      </c>
      <c r="AS18" s="117"/>
    </row>
    <row r="19" ht="22.5" customHeight="1">
      <c r="A19" s="135" t="s">
        <v>179</v>
      </c>
      <c r="B19" s="130">
        <v>420000.0</v>
      </c>
      <c r="C19" s="130">
        <v>420000.0</v>
      </c>
      <c r="D19" s="130">
        <v>420000.0</v>
      </c>
      <c r="E19" s="130">
        <v>420000.0</v>
      </c>
      <c r="F19" s="130">
        <v>420000.0</v>
      </c>
      <c r="G19" s="130">
        <v>420000.0</v>
      </c>
      <c r="H19" s="130">
        <v>420000.0</v>
      </c>
      <c r="I19" s="130">
        <v>420000.0</v>
      </c>
      <c r="J19" s="130">
        <v>420000.0</v>
      </c>
      <c r="K19" s="133"/>
      <c r="L19" s="133"/>
      <c r="M19" s="133"/>
      <c r="N19" s="131"/>
      <c r="O19" s="131"/>
      <c r="P19" s="67" t="s">
        <v>319</v>
      </c>
      <c r="Q19" s="110">
        <v>45295.0</v>
      </c>
      <c r="R19" s="111">
        <v>310000.0</v>
      </c>
      <c r="S19" s="112"/>
      <c r="T19" s="113" t="s">
        <v>336</v>
      </c>
      <c r="U19" s="119">
        <v>45327.0</v>
      </c>
      <c r="V19" s="120">
        <v>330000.0</v>
      </c>
      <c r="W19" s="114"/>
      <c r="X19" s="115" t="s">
        <v>288</v>
      </c>
      <c r="Y19" s="121">
        <v>45355.0</v>
      </c>
      <c r="Z19" s="122">
        <v>250000.0</v>
      </c>
      <c r="AA19" s="116"/>
      <c r="AC19" s="96" t="s">
        <v>335</v>
      </c>
      <c r="AD19" s="123">
        <v>45386.0</v>
      </c>
      <c r="AE19" s="124">
        <v>300000.0</v>
      </c>
      <c r="AF19" s="99"/>
      <c r="AH19" s="67" t="s">
        <v>337</v>
      </c>
      <c r="AI19" s="110">
        <v>45418.0</v>
      </c>
      <c r="AJ19" s="111">
        <v>300000.0</v>
      </c>
      <c r="AK19" s="112"/>
      <c r="AL19" s="17" t="s">
        <v>338</v>
      </c>
      <c r="AM19" s="44">
        <v>45448.0</v>
      </c>
      <c r="AN19" s="45">
        <v>250000.0</v>
      </c>
      <c r="AP19" s="31" t="s">
        <v>339</v>
      </c>
      <c r="AQ19" s="125">
        <v>45478.0</v>
      </c>
      <c r="AR19" s="126">
        <v>300000.0</v>
      </c>
      <c r="AS19" s="117"/>
    </row>
    <row r="20" ht="22.5" customHeight="1">
      <c r="A20" s="135" t="s">
        <v>180</v>
      </c>
      <c r="B20" s="133"/>
      <c r="C20" s="130">
        <v>250000.0</v>
      </c>
      <c r="D20" s="130">
        <v>250000.0</v>
      </c>
      <c r="E20" s="130">
        <v>250000.0</v>
      </c>
      <c r="F20" s="130">
        <v>250000.0</v>
      </c>
      <c r="G20" s="133"/>
      <c r="H20" s="133"/>
      <c r="I20" s="133"/>
      <c r="J20" s="133"/>
      <c r="K20" s="133"/>
      <c r="L20" s="133"/>
      <c r="M20" s="133"/>
      <c r="N20" s="136"/>
      <c r="O20" s="136"/>
      <c r="P20" s="67" t="s">
        <v>340</v>
      </c>
      <c r="Q20" s="110">
        <v>45300.0</v>
      </c>
      <c r="R20" s="111">
        <v>420000.0</v>
      </c>
      <c r="S20" s="112"/>
      <c r="T20" s="113" t="s">
        <v>300</v>
      </c>
      <c r="U20" s="119">
        <v>45327.0</v>
      </c>
      <c r="V20" s="120">
        <v>420000.0</v>
      </c>
      <c r="W20" s="114"/>
      <c r="X20" s="115" t="s">
        <v>300</v>
      </c>
      <c r="Y20" s="121">
        <v>45355.0</v>
      </c>
      <c r="Z20" s="122">
        <v>420000.0</v>
      </c>
      <c r="AA20" s="116"/>
      <c r="AC20" s="96" t="s">
        <v>341</v>
      </c>
      <c r="AD20" s="123">
        <v>45386.0</v>
      </c>
      <c r="AE20" s="124">
        <v>250000.0</v>
      </c>
      <c r="AF20" s="96" t="s">
        <v>342</v>
      </c>
      <c r="AH20" s="67" t="s">
        <v>343</v>
      </c>
      <c r="AI20" s="110">
        <v>45418.0</v>
      </c>
      <c r="AJ20" s="111">
        <v>300000.0</v>
      </c>
      <c r="AK20" s="112"/>
      <c r="AL20" s="17" t="s">
        <v>344</v>
      </c>
      <c r="AM20" s="44">
        <v>45449.0</v>
      </c>
      <c r="AN20" s="45">
        <v>310000.0</v>
      </c>
      <c r="AP20" s="31" t="s">
        <v>345</v>
      </c>
      <c r="AQ20" s="125">
        <v>45478.0</v>
      </c>
      <c r="AR20" s="126">
        <v>300000.0</v>
      </c>
      <c r="AS20" s="117"/>
    </row>
    <row r="21" ht="22.5" customHeight="1">
      <c r="A21" s="129" t="s">
        <v>182</v>
      </c>
      <c r="B21" s="130">
        <v>250000.0</v>
      </c>
      <c r="C21" s="130">
        <v>250000.0</v>
      </c>
      <c r="D21" s="130">
        <v>250000.0</v>
      </c>
      <c r="E21" s="130">
        <v>250000.0</v>
      </c>
      <c r="F21" s="130">
        <v>250000.0</v>
      </c>
      <c r="G21" s="130">
        <v>250000.0</v>
      </c>
      <c r="H21" s="130">
        <v>250000.0</v>
      </c>
      <c r="I21" s="130">
        <v>250000.0</v>
      </c>
      <c r="J21" s="130">
        <v>250000.0</v>
      </c>
      <c r="K21" s="130">
        <v>250000.0</v>
      </c>
      <c r="L21" s="130">
        <v>500000.0</v>
      </c>
      <c r="M21" s="130">
        <v>0.0</v>
      </c>
      <c r="N21" s="131"/>
      <c r="O21" s="131"/>
      <c r="P21" s="67" t="s">
        <v>328</v>
      </c>
      <c r="Q21" s="110">
        <v>45300.0</v>
      </c>
      <c r="R21" s="111">
        <v>310000.0</v>
      </c>
      <c r="S21" s="112"/>
      <c r="T21" s="113" t="s">
        <v>287</v>
      </c>
      <c r="U21" s="119">
        <v>45327.0</v>
      </c>
      <c r="V21" s="120">
        <v>310000.0</v>
      </c>
      <c r="W21" s="114"/>
      <c r="X21" s="115" t="s">
        <v>321</v>
      </c>
      <c r="Y21" s="121">
        <v>45355.0</v>
      </c>
      <c r="Z21" s="122">
        <v>310000.0</v>
      </c>
      <c r="AA21" s="116"/>
      <c r="AC21" s="96" t="s">
        <v>346</v>
      </c>
      <c r="AD21" s="123">
        <v>45387.0</v>
      </c>
      <c r="AE21" s="124">
        <v>310000.0</v>
      </c>
      <c r="AF21" s="99"/>
      <c r="AH21" s="67" t="s">
        <v>347</v>
      </c>
      <c r="AI21" s="110">
        <v>45418.0</v>
      </c>
      <c r="AJ21" s="111">
        <v>250000.0</v>
      </c>
      <c r="AK21" s="67" t="s">
        <v>348</v>
      </c>
      <c r="AL21" s="17" t="s">
        <v>349</v>
      </c>
      <c r="AM21" s="44">
        <v>45449.0</v>
      </c>
      <c r="AN21" s="45">
        <v>310000.0</v>
      </c>
      <c r="AP21" s="31" t="s">
        <v>344</v>
      </c>
      <c r="AQ21" s="125">
        <v>45478.0</v>
      </c>
      <c r="AR21" s="126">
        <v>310000.0</v>
      </c>
      <c r="AS21" s="117"/>
    </row>
    <row r="22" ht="22.5" customHeight="1">
      <c r="A22" s="129" t="s">
        <v>184</v>
      </c>
      <c r="B22" s="130">
        <v>250000.0</v>
      </c>
      <c r="C22" s="130">
        <v>250000.0</v>
      </c>
      <c r="D22" s="130">
        <v>300000.0</v>
      </c>
      <c r="E22" s="130">
        <v>300000.0</v>
      </c>
      <c r="F22" s="130">
        <v>250000.0</v>
      </c>
      <c r="G22" s="130">
        <v>250000.0</v>
      </c>
      <c r="H22" s="130">
        <v>250000.0</v>
      </c>
      <c r="I22" s="130">
        <v>250000.0</v>
      </c>
      <c r="J22" s="130">
        <v>250000.0</v>
      </c>
      <c r="K22" s="130">
        <v>250000.0</v>
      </c>
      <c r="L22" s="130">
        <v>250000.0</v>
      </c>
      <c r="M22" s="130">
        <v>250000.0</v>
      </c>
      <c r="N22" s="131"/>
      <c r="O22" s="131"/>
      <c r="P22" s="67" t="s">
        <v>344</v>
      </c>
      <c r="Q22" s="110">
        <v>45297.0</v>
      </c>
      <c r="R22" s="111">
        <v>310000.0</v>
      </c>
      <c r="S22" s="112"/>
      <c r="T22" s="113" t="s">
        <v>350</v>
      </c>
      <c r="U22" s="119">
        <v>45327.0</v>
      </c>
      <c r="V22" s="120">
        <v>420000.0</v>
      </c>
      <c r="W22" s="114"/>
      <c r="X22" s="115" t="s">
        <v>346</v>
      </c>
      <c r="Y22" s="121">
        <v>45356.0</v>
      </c>
      <c r="Z22" s="122">
        <v>310000.0</v>
      </c>
      <c r="AA22" s="116"/>
      <c r="AC22" s="96" t="s">
        <v>351</v>
      </c>
      <c r="AD22" s="123">
        <v>45387.0</v>
      </c>
      <c r="AE22" s="124">
        <v>310000.0</v>
      </c>
      <c r="AF22" s="99"/>
      <c r="AH22" s="67" t="s">
        <v>350</v>
      </c>
      <c r="AI22" s="110">
        <v>45418.0</v>
      </c>
      <c r="AJ22" s="111">
        <v>420000.0</v>
      </c>
      <c r="AK22" s="112"/>
      <c r="AL22" s="17" t="s">
        <v>352</v>
      </c>
      <c r="AM22" s="44">
        <v>45449.0</v>
      </c>
      <c r="AN22" s="45">
        <v>450000.0</v>
      </c>
      <c r="AP22" s="31" t="s">
        <v>346</v>
      </c>
      <c r="AQ22" s="125">
        <v>45478.0</v>
      </c>
      <c r="AR22" s="126">
        <v>310000.0</v>
      </c>
      <c r="AS22" s="117"/>
    </row>
    <row r="23" ht="22.5" customHeight="1">
      <c r="A23" s="129" t="s">
        <v>353</v>
      </c>
      <c r="B23" s="133"/>
      <c r="C23" s="133"/>
      <c r="D23" s="133"/>
      <c r="E23" s="133"/>
      <c r="F23" s="133"/>
      <c r="G23" s="133"/>
      <c r="H23" s="133"/>
      <c r="I23" s="130">
        <v>150000.0</v>
      </c>
      <c r="J23" s="130">
        <v>300000.0</v>
      </c>
      <c r="K23" s="130">
        <v>300000.0</v>
      </c>
      <c r="L23" s="130">
        <v>300000.0</v>
      </c>
      <c r="M23" s="130">
        <v>300000.0</v>
      </c>
      <c r="N23" s="131"/>
      <c r="O23" s="131"/>
      <c r="P23" s="67"/>
      <c r="Q23" s="110"/>
      <c r="R23" s="111"/>
      <c r="S23" s="112"/>
      <c r="T23" s="113"/>
      <c r="U23" s="119"/>
      <c r="V23" s="120"/>
      <c r="W23" s="114"/>
      <c r="X23" s="115"/>
      <c r="Y23" s="121"/>
      <c r="Z23" s="122"/>
      <c r="AA23" s="116"/>
      <c r="AC23" s="96"/>
      <c r="AD23" s="123"/>
      <c r="AE23" s="124"/>
      <c r="AF23" s="99"/>
      <c r="AH23" s="67"/>
      <c r="AI23" s="110"/>
      <c r="AJ23" s="111"/>
      <c r="AK23" s="112"/>
      <c r="AL23" s="17"/>
      <c r="AM23" s="44"/>
      <c r="AN23" s="45"/>
      <c r="AP23" s="31"/>
      <c r="AQ23" s="125"/>
      <c r="AR23" s="126"/>
      <c r="AS23" s="117"/>
    </row>
    <row r="24" ht="22.5" customHeight="1">
      <c r="A24" s="132" t="s">
        <v>123</v>
      </c>
      <c r="B24" s="130">
        <v>310000.0</v>
      </c>
      <c r="C24" s="130">
        <v>310000.0</v>
      </c>
      <c r="D24" s="130">
        <v>310000.0</v>
      </c>
      <c r="E24" s="130">
        <v>310000.0</v>
      </c>
      <c r="F24" s="130">
        <v>310000.0</v>
      </c>
      <c r="G24" s="130">
        <v>310000.0</v>
      </c>
      <c r="H24" s="130">
        <v>310000.0</v>
      </c>
      <c r="I24" s="130">
        <v>310000.0</v>
      </c>
      <c r="J24" s="130">
        <v>310000.0</v>
      </c>
      <c r="K24" s="130">
        <v>310000.0</v>
      </c>
      <c r="L24" s="130">
        <v>310000.0</v>
      </c>
      <c r="M24" s="130">
        <v>310000.0</v>
      </c>
      <c r="N24" s="131"/>
      <c r="O24" s="131"/>
      <c r="P24" s="67" t="s">
        <v>354</v>
      </c>
      <c r="Q24" s="110">
        <v>45299.0</v>
      </c>
      <c r="R24" s="111">
        <v>250000.0</v>
      </c>
      <c r="S24" s="112"/>
      <c r="T24" s="113" t="s">
        <v>344</v>
      </c>
      <c r="U24" s="119">
        <v>45328.0</v>
      </c>
      <c r="V24" s="120">
        <v>310000.0</v>
      </c>
      <c r="W24" s="114"/>
      <c r="X24" s="115" t="s">
        <v>324</v>
      </c>
      <c r="Y24" s="121">
        <v>45356.0</v>
      </c>
      <c r="Z24" s="122">
        <v>250000.0</v>
      </c>
      <c r="AA24" s="116"/>
      <c r="AC24" s="96" t="s">
        <v>350</v>
      </c>
      <c r="AD24" s="123">
        <v>45388.0</v>
      </c>
      <c r="AE24" s="124">
        <v>420000.0</v>
      </c>
      <c r="AF24" s="99"/>
      <c r="AH24" s="67" t="s">
        <v>344</v>
      </c>
      <c r="AI24" s="110">
        <v>45418.0</v>
      </c>
      <c r="AJ24" s="111">
        <v>310000.0</v>
      </c>
      <c r="AK24" s="112"/>
      <c r="AL24" s="17" t="s">
        <v>355</v>
      </c>
      <c r="AM24" s="44">
        <v>45449.0</v>
      </c>
      <c r="AN24" s="45">
        <v>320000.0</v>
      </c>
      <c r="AP24" s="31" t="s">
        <v>338</v>
      </c>
      <c r="AQ24" s="125">
        <v>45481.0</v>
      </c>
      <c r="AR24" s="126">
        <v>250000.0</v>
      </c>
      <c r="AS24" s="117"/>
    </row>
    <row r="25" ht="22.5" customHeight="1">
      <c r="A25" s="132" t="s">
        <v>356</v>
      </c>
      <c r="B25" s="133"/>
      <c r="C25" s="133"/>
      <c r="D25" s="130">
        <v>420000.0</v>
      </c>
      <c r="E25" s="130">
        <v>420000.0</v>
      </c>
      <c r="F25" s="130">
        <v>420000.0</v>
      </c>
      <c r="G25" s="130">
        <v>420000.0</v>
      </c>
      <c r="H25" s="130">
        <v>420000.0</v>
      </c>
      <c r="I25" s="130">
        <v>420000.0</v>
      </c>
      <c r="J25" s="130">
        <v>420000.0</v>
      </c>
      <c r="K25" s="130">
        <v>420000.0</v>
      </c>
      <c r="L25" s="130">
        <v>420000.0</v>
      </c>
      <c r="M25" s="130">
        <v>420000.0</v>
      </c>
      <c r="N25" s="131"/>
      <c r="O25" s="131"/>
      <c r="P25" s="67"/>
      <c r="Q25" s="110"/>
      <c r="R25" s="111"/>
      <c r="S25" s="112"/>
      <c r="T25" s="113" t="s">
        <v>324</v>
      </c>
      <c r="U25" s="119">
        <v>45328.0</v>
      </c>
      <c r="V25" s="120">
        <v>250000.0</v>
      </c>
      <c r="W25" s="114"/>
      <c r="X25" s="115" t="s">
        <v>357</v>
      </c>
      <c r="Y25" s="121">
        <v>45356.0</v>
      </c>
      <c r="Z25" s="122">
        <v>250000.0</v>
      </c>
      <c r="AA25" s="115" t="s">
        <v>358</v>
      </c>
      <c r="AB25" s="17"/>
      <c r="AC25" s="96" t="s">
        <v>359</v>
      </c>
      <c r="AD25" s="123">
        <v>45390.0</v>
      </c>
      <c r="AE25" s="124">
        <v>250000.0</v>
      </c>
      <c r="AF25" s="96" t="s">
        <v>360</v>
      </c>
      <c r="AG25" s="17"/>
      <c r="AH25" s="67" t="s">
        <v>318</v>
      </c>
      <c r="AI25" s="110">
        <v>45418.0</v>
      </c>
      <c r="AJ25" s="111">
        <v>250000.0</v>
      </c>
      <c r="AK25" s="112"/>
      <c r="AL25" s="17" t="s">
        <v>361</v>
      </c>
      <c r="AM25" s="44">
        <v>45450.0</v>
      </c>
      <c r="AN25" s="45">
        <v>300000.0</v>
      </c>
      <c r="AP25" s="31" t="s">
        <v>359</v>
      </c>
      <c r="AQ25" s="125">
        <v>45481.0</v>
      </c>
      <c r="AR25" s="126">
        <v>250000.0</v>
      </c>
      <c r="AS25" s="31" t="s">
        <v>362</v>
      </c>
    </row>
    <row r="26" ht="22.5" customHeight="1">
      <c r="A26" s="129" t="s">
        <v>363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0">
        <v>250000.0</v>
      </c>
      <c r="L26" s="130">
        <v>250000.0</v>
      </c>
      <c r="M26" s="130">
        <v>250000.0</v>
      </c>
      <c r="N26" s="131"/>
      <c r="O26" s="131"/>
      <c r="P26" s="67"/>
      <c r="Q26" s="110"/>
      <c r="R26" s="111"/>
      <c r="S26" s="112"/>
      <c r="T26" s="113"/>
      <c r="U26" s="119"/>
      <c r="V26" s="120"/>
      <c r="W26" s="114"/>
      <c r="X26" s="115"/>
      <c r="Y26" s="121"/>
      <c r="Z26" s="122"/>
      <c r="AA26" s="115"/>
      <c r="AB26" s="17"/>
      <c r="AC26" s="96"/>
      <c r="AD26" s="123"/>
      <c r="AE26" s="124"/>
      <c r="AF26" s="96"/>
      <c r="AG26" s="17"/>
      <c r="AH26" s="67"/>
      <c r="AI26" s="110"/>
      <c r="AJ26" s="111"/>
      <c r="AK26" s="112"/>
      <c r="AL26" s="17"/>
      <c r="AM26" s="44"/>
      <c r="AN26" s="45"/>
      <c r="AP26" s="31"/>
      <c r="AQ26" s="125"/>
      <c r="AR26" s="126"/>
      <c r="AS26" s="31"/>
    </row>
    <row r="27" ht="22.5" customHeight="1">
      <c r="A27" s="134" t="s">
        <v>37</v>
      </c>
      <c r="B27" s="130">
        <v>2400000.0</v>
      </c>
      <c r="C27" s="130">
        <v>0.0</v>
      </c>
      <c r="D27" s="130">
        <v>0.0</v>
      </c>
      <c r="E27" s="130">
        <v>0.0</v>
      </c>
      <c r="F27" s="130">
        <v>0.0</v>
      </c>
      <c r="G27" s="130">
        <v>0.0</v>
      </c>
      <c r="H27" s="130">
        <v>1230000.0</v>
      </c>
      <c r="I27" s="130">
        <v>0.0</v>
      </c>
      <c r="J27" s="130">
        <v>0.0</v>
      </c>
      <c r="K27" s="130">
        <v>1230000.0</v>
      </c>
      <c r="L27" s="130">
        <v>0.0</v>
      </c>
      <c r="M27" s="130">
        <v>0.0</v>
      </c>
      <c r="N27" s="131"/>
      <c r="O27" s="131"/>
      <c r="P27" s="67" t="s">
        <v>364</v>
      </c>
      <c r="Q27" s="110">
        <v>45300.0</v>
      </c>
      <c r="R27" s="111">
        <v>310000.0</v>
      </c>
      <c r="S27" s="112"/>
      <c r="T27" s="113" t="s">
        <v>354</v>
      </c>
      <c r="U27" s="119">
        <v>45328.0</v>
      </c>
      <c r="V27" s="120">
        <v>250000.0</v>
      </c>
      <c r="W27" s="114"/>
      <c r="X27" s="115" t="s">
        <v>365</v>
      </c>
      <c r="Y27" s="121">
        <v>45357.0</v>
      </c>
      <c r="Z27" s="122">
        <v>250000.0</v>
      </c>
      <c r="AA27" s="116"/>
      <c r="AC27" s="96" t="s">
        <v>366</v>
      </c>
      <c r="AD27" s="123">
        <v>45390.0</v>
      </c>
      <c r="AE27" s="124">
        <v>250000.0</v>
      </c>
      <c r="AF27" s="99"/>
      <c r="AH27" s="67" t="s">
        <v>367</v>
      </c>
      <c r="AI27" s="110">
        <v>45418.0</v>
      </c>
      <c r="AJ27" s="111">
        <v>250000.0</v>
      </c>
      <c r="AK27" s="112"/>
      <c r="AL27" s="17" t="s">
        <v>333</v>
      </c>
      <c r="AM27" s="44">
        <v>45454.0</v>
      </c>
      <c r="AN27" s="45">
        <v>450000.0</v>
      </c>
      <c r="AP27" s="31" t="s">
        <v>368</v>
      </c>
      <c r="AQ27" s="125">
        <v>45481.0</v>
      </c>
      <c r="AR27" s="126">
        <v>320000.0</v>
      </c>
      <c r="AS27" s="117"/>
    </row>
    <row r="28" ht="22.5" customHeight="1">
      <c r="A28" s="134" t="s">
        <v>148</v>
      </c>
      <c r="B28" s="130">
        <v>420000.0</v>
      </c>
      <c r="C28" s="130">
        <v>420000.0</v>
      </c>
      <c r="D28" s="130">
        <v>420000.0</v>
      </c>
      <c r="E28" s="130">
        <v>420000.0</v>
      </c>
      <c r="F28" s="130">
        <v>420000.0</v>
      </c>
      <c r="G28" s="130">
        <v>420000.0</v>
      </c>
      <c r="H28" s="130">
        <v>420000.0</v>
      </c>
      <c r="I28" s="130">
        <v>420000.0</v>
      </c>
      <c r="J28" s="130">
        <v>420000.0</v>
      </c>
      <c r="K28" s="130">
        <v>420000.0</v>
      </c>
      <c r="L28" s="130">
        <v>420000.0</v>
      </c>
      <c r="M28" s="130">
        <v>420000.0</v>
      </c>
      <c r="N28" s="131"/>
      <c r="O28" s="131"/>
      <c r="P28" s="67" t="s">
        <v>317</v>
      </c>
      <c r="Q28" s="110">
        <v>45301.0</v>
      </c>
      <c r="R28" s="111">
        <v>420000.0</v>
      </c>
      <c r="S28" s="112"/>
      <c r="T28" s="113" t="s">
        <v>290</v>
      </c>
      <c r="U28" s="119">
        <v>45329.0</v>
      </c>
      <c r="V28" s="120">
        <v>250000.0</v>
      </c>
      <c r="W28" s="114"/>
      <c r="X28" s="115" t="s">
        <v>369</v>
      </c>
      <c r="Y28" s="121">
        <v>45357.0</v>
      </c>
      <c r="Z28" s="122">
        <v>310000.0</v>
      </c>
      <c r="AA28" s="116"/>
      <c r="AC28" s="96" t="s">
        <v>354</v>
      </c>
      <c r="AD28" s="123">
        <v>45390.0</v>
      </c>
      <c r="AE28" s="124">
        <v>250000.0</v>
      </c>
      <c r="AF28" s="99"/>
      <c r="AH28" s="67" t="s">
        <v>370</v>
      </c>
      <c r="AI28" s="110">
        <v>45420.0</v>
      </c>
      <c r="AJ28" s="111">
        <v>420000.0</v>
      </c>
      <c r="AK28" s="67" t="s">
        <v>358</v>
      </c>
      <c r="AL28" s="17" t="s">
        <v>305</v>
      </c>
      <c r="AM28" s="44">
        <v>45453.0</v>
      </c>
      <c r="AN28" s="45">
        <v>380000.0</v>
      </c>
      <c r="AP28" s="31" t="s">
        <v>279</v>
      </c>
      <c r="AQ28" s="125">
        <v>45481.0</v>
      </c>
      <c r="AR28" s="126">
        <v>450000.0</v>
      </c>
      <c r="AS28" s="117"/>
    </row>
    <row r="29" ht="22.5" customHeight="1">
      <c r="A29" s="129" t="s">
        <v>187</v>
      </c>
      <c r="B29" s="130">
        <v>250000.0</v>
      </c>
      <c r="C29" s="130">
        <v>250000.0</v>
      </c>
      <c r="D29" s="130">
        <v>250000.0</v>
      </c>
      <c r="E29" s="130">
        <v>250000.0</v>
      </c>
      <c r="F29" s="130">
        <v>250000.0</v>
      </c>
      <c r="G29" s="130">
        <v>250000.0</v>
      </c>
      <c r="H29" s="130">
        <v>250000.0</v>
      </c>
      <c r="I29" s="130">
        <v>250000.0</v>
      </c>
      <c r="J29" s="130">
        <v>250000.0</v>
      </c>
      <c r="K29" s="130">
        <v>250000.0</v>
      </c>
      <c r="L29" s="130">
        <v>250000.0</v>
      </c>
      <c r="M29" s="130">
        <v>250000.0</v>
      </c>
      <c r="N29" s="131"/>
      <c r="O29" s="131"/>
      <c r="P29" s="67" t="s">
        <v>349</v>
      </c>
      <c r="Q29" s="110">
        <v>45300.0</v>
      </c>
      <c r="R29" s="111">
        <v>310000.0</v>
      </c>
      <c r="S29" s="112"/>
      <c r="T29" s="113" t="s">
        <v>361</v>
      </c>
      <c r="U29" s="119">
        <v>45327.0</v>
      </c>
      <c r="V29" s="120">
        <v>300000.0</v>
      </c>
      <c r="W29" s="114"/>
      <c r="X29" s="115" t="s">
        <v>344</v>
      </c>
      <c r="Y29" s="121">
        <v>45357.0</v>
      </c>
      <c r="Z29" s="122">
        <v>310000.0</v>
      </c>
      <c r="AA29" s="116"/>
      <c r="AC29" s="96" t="s">
        <v>364</v>
      </c>
      <c r="AD29" s="123">
        <v>45391.0</v>
      </c>
      <c r="AE29" s="124">
        <v>380000.0</v>
      </c>
      <c r="AF29" s="96">
        <v>1.0</v>
      </c>
      <c r="AH29" s="67" t="s">
        <v>355</v>
      </c>
      <c r="AI29" s="110">
        <v>45420.0</v>
      </c>
      <c r="AJ29" s="111">
        <v>320000.0</v>
      </c>
      <c r="AK29" s="112"/>
      <c r="AL29" s="17" t="s">
        <v>304</v>
      </c>
      <c r="AM29" s="44">
        <v>45454.0</v>
      </c>
      <c r="AN29" s="45">
        <v>420000.0</v>
      </c>
      <c r="AP29" s="31" t="s">
        <v>304</v>
      </c>
      <c r="AQ29" s="125">
        <v>45481.0</v>
      </c>
      <c r="AR29" s="126">
        <v>450000.0</v>
      </c>
      <c r="AS29" s="117"/>
    </row>
    <row r="30" ht="22.5" customHeight="1">
      <c r="A30" s="132" t="s">
        <v>188</v>
      </c>
      <c r="B30" s="130">
        <v>1000000.0</v>
      </c>
      <c r="C30" s="130">
        <v>0.0</v>
      </c>
      <c r="D30" s="130">
        <v>0.0</v>
      </c>
      <c r="E30" s="130">
        <v>0.0</v>
      </c>
      <c r="F30" s="130">
        <v>0.0</v>
      </c>
      <c r="G30" s="130">
        <v>0.0</v>
      </c>
      <c r="H30" s="130">
        <v>1000000.0</v>
      </c>
      <c r="I30" s="130">
        <v>0.0</v>
      </c>
      <c r="J30" s="130">
        <v>0.0</v>
      </c>
      <c r="K30" s="130">
        <v>0.0</v>
      </c>
      <c r="L30" s="130">
        <v>0.0</v>
      </c>
      <c r="M30" s="130">
        <v>0.0</v>
      </c>
      <c r="N30" s="131"/>
      <c r="O30" s="131"/>
      <c r="P30" s="67" t="s">
        <v>336</v>
      </c>
      <c r="Q30" s="110">
        <v>45300.0</v>
      </c>
      <c r="R30" s="111">
        <v>330000.0</v>
      </c>
      <c r="S30" s="112"/>
      <c r="T30" s="113" t="s">
        <v>371</v>
      </c>
      <c r="U30" s="119">
        <v>45329.0</v>
      </c>
      <c r="V30" s="120">
        <v>310000.0</v>
      </c>
      <c r="W30" s="114"/>
      <c r="X30" s="115" t="s">
        <v>372</v>
      </c>
      <c r="Y30" s="121">
        <v>45357.0</v>
      </c>
      <c r="Z30" s="122">
        <v>420000.0</v>
      </c>
      <c r="AA30" s="116"/>
      <c r="AC30" s="96" t="s">
        <v>373</v>
      </c>
      <c r="AD30" s="123">
        <v>45513.0</v>
      </c>
      <c r="AE30" s="124">
        <v>200000.0</v>
      </c>
      <c r="AF30" s="99"/>
      <c r="AH30" s="67" t="s">
        <v>374</v>
      </c>
      <c r="AI30" s="110">
        <v>45421.0</v>
      </c>
      <c r="AJ30" s="111">
        <v>250000.0</v>
      </c>
      <c r="AK30" s="112"/>
      <c r="AL30" s="17" t="s">
        <v>375</v>
      </c>
      <c r="AM30" s="44">
        <v>45454.0</v>
      </c>
      <c r="AN30" s="45">
        <v>450000.0</v>
      </c>
      <c r="AP30" s="31" t="s">
        <v>376</v>
      </c>
      <c r="AQ30" s="125">
        <v>45481.0</v>
      </c>
      <c r="AR30" s="126">
        <v>250000.0</v>
      </c>
      <c r="AS30" s="117"/>
    </row>
    <row r="31" ht="22.5" customHeight="1">
      <c r="A31" s="134" t="s">
        <v>377</v>
      </c>
      <c r="B31" s="133"/>
      <c r="C31" s="133"/>
      <c r="D31" s="133"/>
      <c r="E31" s="133"/>
      <c r="F31" s="133"/>
      <c r="G31" s="133"/>
      <c r="H31" s="133"/>
      <c r="I31" s="130">
        <v>450000.0</v>
      </c>
      <c r="J31" s="130">
        <v>400000.0</v>
      </c>
      <c r="K31" s="130">
        <v>400000.0</v>
      </c>
      <c r="L31" s="130">
        <v>400000.0</v>
      </c>
      <c r="M31" s="130">
        <v>400000.0</v>
      </c>
      <c r="N31" s="131"/>
      <c r="O31" s="131"/>
      <c r="P31" s="67"/>
      <c r="Q31" s="110"/>
      <c r="R31" s="111"/>
      <c r="S31" s="112"/>
      <c r="T31" s="113"/>
      <c r="U31" s="119"/>
      <c r="V31" s="120"/>
      <c r="W31" s="114"/>
      <c r="X31" s="115"/>
      <c r="Y31" s="121"/>
      <c r="Z31" s="122"/>
      <c r="AA31" s="116"/>
      <c r="AC31" s="96"/>
      <c r="AD31" s="123"/>
      <c r="AE31" s="124"/>
      <c r="AF31" s="99"/>
      <c r="AH31" s="67"/>
      <c r="AI31" s="110"/>
      <c r="AJ31" s="111"/>
      <c r="AK31" s="112"/>
      <c r="AL31" s="17"/>
      <c r="AM31" s="44"/>
      <c r="AN31" s="45"/>
      <c r="AP31" s="31" t="s">
        <v>355</v>
      </c>
      <c r="AQ31" s="125">
        <v>45481.0</v>
      </c>
      <c r="AR31" s="126">
        <v>320000.0</v>
      </c>
      <c r="AS31" s="117"/>
    </row>
    <row r="32" ht="22.5" customHeight="1">
      <c r="A32" s="132" t="s">
        <v>378</v>
      </c>
      <c r="B32" s="133"/>
      <c r="C32" s="133"/>
      <c r="D32" s="133"/>
      <c r="E32" s="133"/>
      <c r="F32" s="133"/>
      <c r="G32" s="133"/>
      <c r="H32" s="133"/>
      <c r="I32" s="133"/>
      <c r="J32" s="130">
        <v>320000.0</v>
      </c>
      <c r="K32" s="130">
        <v>320000.0</v>
      </c>
      <c r="L32" s="130">
        <v>320000.0</v>
      </c>
      <c r="M32" s="130">
        <v>320000.0</v>
      </c>
      <c r="N32" s="131"/>
      <c r="O32" s="131"/>
      <c r="P32" s="67"/>
      <c r="Q32" s="110"/>
      <c r="R32" s="111"/>
      <c r="S32" s="112"/>
      <c r="T32" s="113"/>
      <c r="U32" s="119"/>
      <c r="V32" s="120"/>
      <c r="W32" s="114"/>
      <c r="X32" s="115"/>
      <c r="Y32" s="121"/>
      <c r="Z32" s="122"/>
      <c r="AA32" s="116"/>
      <c r="AC32" s="96"/>
      <c r="AD32" s="123"/>
      <c r="AE32" s="124"/>
      <c r="AF32" s="99"/>
      <c r="AH32" s="67"/>
      <c r="AI32" s="110"/>
      <c r="AJ32" s="111"/>
      <c r="AK32" s="112"/>
      <c r="AL32" s="17"/>
      <c r="AM32" s="44"/>
      <c r="AN32" s="45"/>
      <c r="AP32" s="31"/>
      <c r="AQ32" s="125"/>
      <c r="AR32" s="126"/>
      <c r="AS32" s="117"/>
    </row>
    <row r="33" ht="22.5" customHeight="1">
      <c r="A33" s="135" t="s">
        <v>379</v>
      </c>
      <c r="B33" s="130">
        <v>450000.0</v>
      </c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6"/>
      <c r="O33" s="136"/>
      <c r="P33" s="67" t="s">
        <v>289</v>
      </c>
      <c r="Q33" s="110">
        <v>45303.0</v>
      </c>
      <c r="R33" s="111">
        <v>250000.0</v>
      </c>
      <c r="S33" s="112"/>
      <c r="T33" s="113" t="s">
        <v>369</v>
      </c>
      <c r="U33" s="119">
        <v>45329.0</v>
      </c>
      <c r="V33" s="120">
        <v>310000.0</v>
      </c>
      <c r="W33" s="114"/>
      <c r="X33" s="115" t="s">
        <v>380</v>
      </c>
      <c r="Y33" s="121">
        <v>45357.0</v>
      </c>
      <c r="Z33" s="122">
        <v>250000.0</v>
      </c>
      <c r="AA33" s="116"/>
      <c r="AC33" s="96" t="s">
        <v>355</v>
      </c>
      <c r="AD33" s="123">
        <v>45392.0</v>
      </c>
      <c r="AE33" s="124">
        <v>320000.0</v>
      </c>
      <c r="AF33" s="99"/>
      <c r="AH33" s="67" t="s">
        <v>280</v>
      </c>
      <c r="AI33" s="110">
        <v>45426.0</v>
      </c>
      <c r="AJ33" s="111">
        <v>225000.0</v>
      </c>
      <c r="AK33" s="112"/>
      <c r="AL33" s="17" t="s">
        <v>381</v>
      </c>
      <c r="AM33" s="44">
        <v>45454.0</v>
      </c>
      <c r="AN33" s="45">
        <v>250000.0</v>
      </c>
      <c r="AP33" s="31" t="s">
        <v>364</v>
      </c>
      <c r="AQ33" s="125">
        <v>45481.0</v>
      </c>
      <c r="AR33" s="126">
        <v>380000.0</v>
      </c>
      <c r="AS33" s="117"/>
    </row>
    <row r="34" ht="22.5" customHeight="1">
      <c r="A34" s="134" t="s">
        <v>189</v>
      </c>
      <c r="B34" s="130">
        <v>310000.0</v>
      </c>
      <c r="C34" s="130">
        <v>310000.0</v>
      </c>
      <c r="D34" s="130">
        <v>310000.0</v>
      </c>
      <c r="E34" s="130">
        <v>380000.0</v>
      </c>
      <c r="F34" s="130">
        <v>380000.0</v>
      </c>
      <c r="G34" s="130">
        <v>380000.0</v>
      </c>
      <c r="H34" s="130">
        <v>380000.0</v>
      </c>
      <c r="I34" s="130">
        <v>380000.0</v>
      </c>
      <c r="J34" s="130">
        <v>380000.0</v>
      </c>
      <c r="K34" s="130">
        <v>380000.0</v>
      </c>
      <c r="L34" s="130">
        <v>380000.0</v>
      </c>
      <c r="M34" s="130">
        <v>380000.0</v>
      </c>
      <c r="N34" s="131"/>
      <c r="O34" s="131"/>
      <c r="P34" s="67" t="s">
        <v>300</v>
      </c>
      <c r="Q34" s="110">
        <v>45306.0</v>
      </c>
      <c r="R34" s="111">
        <v>420000.0</v>
      </c>
      <c r="S34" s="112"/>
      <c r="T34" s="113" t="s">
        <v>347</v>
      </c>
      <c r="U34" s="119">
        <v>45328.0</v>
      </c>
      <c r="V34" s="120">
        <v>250000.0</v>
      </c>
      <c r="W34" s="113" t="s">
        <v>382</v>
      </c>
      <c r="X34" s="115" t="s">
        <v>354</v>
      </c>
      <c r="Y34" s="121">
        <v>45357.0</v>
      </c>
      <c r="Z34" s="122">
        <v>250000.0</v>
      </c>
      <c r="AA34" s="116"/>
      <c r="AC34" s="96" t="s">
        <v>349</v>
      </c>
      <c r="AD34" s="123">
        <v>45392.0</v>
      </c>
      <c r="AE34" s="124">
        <v>310000.0</v>
      </c>
      <c r="AF34" s="99"/>
      <c r="AH34" s="67" t="s">
        <v>381</v>
      </c>
      <c r="AI34" s="110">
        <v>45426.0</v>
      </c>
      <c r="AJ34" s="111">
        <v>250000.0</v>
      </c>
      <c r="AK34" s="112"/>
      <c r="AL34" s="17" t="s">
        <v>359</v>
      </c>
      <c r="AM34" s="44">
        <v>45454.0</v>
      </c>
      <c r="AN34" s="45">
        <v>250000.0</v>
      </c>
      <c r="AO34" s="17" t="s">
        <v>383</v>
      </c>
      <c r="AP34" s="31" t="s">
        <v>384</v>
      </c>
      <c r="AQ34" s="125">
        <v>45481.0</v>
      </c>
      <c r="AR34" s="126">
        <v>1230000.0</v>
      </c>
      <c r="AS34" s="117"/>
    </row>
    <row r="35" ht="22.5" customHeight="1">
      <c r="A35" s="135" t="s">
        <v>385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0">
        <v>320000.0</v>
      </c>
      <c r="L35" s="130">
        <v>75000.0</v>
      </c>
      <c r="M35" s="133"/>
      <c r="N35" s="131"/>
      <c r="O35" s="131"/>
      <c r="P35" s="67"/>
      <c r="Q35" s="110"/>
      <c r="R35" s="111"/>
      <c r="S35" s="112"/>
      <c r="T35" s="113"/>
      <c r="U35" s="119"/>
      <c r="V35" s="120"/>
      <c r="W35" s="113"/>
      <c r="X35" s="115"/>
      <c r="Y35" s="121"/>
      <c r="Z35" s="122"/>
      <c r="AA35" s="116"/>
      <c r="AC35" s="96"/>
      <c r="AD35" s="123"/>
      <c r="AE35" s="124"/>
      <c r="AF35" s="99"/>
      <c r="AH35" s="67"/>
      <c r="AI35" s="110"/>
      <c r="AJ35" s="111"/>
      <c r="AK35" s="112"/>
      <c r="AL35" s="17"/>
      <c r="AM35" s="44"/>
      <c r="AN35" s="45"/>
      <c r="AO35" s="17"/>
      <c r="AP35" s="31"/>
      <c r="AQ35" s="125"/>
      <c r="AR35" s="126"/>
      <c r="AS35" s="117"/>
    </row>
    <row r="36" ht="22.5" customHeight="1">
      <c r="A36" s="129" t="s">
        <v>191</v>
      </c>
      <c r="B36" s="130">
        <v>250000.0</v>
      </c>
      <c r="C36" s="130">
        <v>510000.0</v>
      </c>
      <c r="D36" s="130">
        <v>250000.0</v>
      </c>
      <c r="E36" s="130">
        <v>250000.0</v>
      </c>
      <c r="F36" s="130">
        <v>250000.0</v>
      </c>
      <c r="G36" s="130">
        <v>770000.0</v>
      </c>
      <c r="H36" s="130">
        <v>250000.0</v>
      </c>
      <c r="I36" s="130">
        <v>250000.0</v>
      </c>
      <c r="J36" s="130">
        <v>250000.0</v>
      </c>
      <c r="K36" s="130">
        <v>500000.0</v>
      </c>
      <c r="L36" s="130">
        <v>0.0</v>
      </c>
      <c r="M36" s="130">
        <v>1030000.0</v>
      </c>
      <c r="N36" s="131"/>
      <c r="O36" s="131"/>
      <c r="P36" s="67" t="s">
        <v>290</v>
      </c>
      <c r="Q36" s="110">
        <v>45306.0</v>
      </c>
      <c r="R36" s="111">
        <v>250000.0</v>
      </c>
      <c r="S36" s="112"/>
      <c r="T36" s="113" t="s">
        <v>380</v>
      </c>
      <c r="U36" s="119">
        <v>45329.0</v>
      </c>
      <c r="V36" s="120">
        <v>250000.0</v>
      </c>
      <c r="W36" s="114"/>
      <c r="X36" s="115" t="s">
        <v>386</v>
      </c>
      <c r="Y36" s="121">
        <v>45363.0</v>
      </c>
      <c r="Z36" s="122">
        <v>310000.0</v>
      </c>
      <c r="AA36" s="116"/>
      <c r="AC36" s="96" t="s">
        <v>387</v>
      </c>
      <c r="AD36" s="123">
        <v>45392.0</v>
      </c>
      <c r="AE36" s="124">
        <v>250000.0</v>
      </c>
      <c r="AF36" s="96" t="s">
        <v>388</v>
      </c>
      <c r="AH36" s="67" t="s">
        <v>369</v>
      </c>
      <c r="AI36" s="110">
        <v>45421.0</v>
      </c>
      <c r="AJ36" s="111">
        <v>380000.0</v>
      </c>
      <c r="AK36" s="112"/>
      <c r="AL36" s="17" t="s">
        <v>389</v>
      </c>
      <c r="AM36" s="44">
        <v>45454.0</v>
      </c>
      <c r="AN36" s="45">
        <v>380000.0</v>
      </c>
      <c r="AP36" s="31" t="s">
        <v>390</v>
      </c>
      <c r="AQ36" s="125">
        <v>45481.0</v>
      </c>
      <c r="AR36" s="126">
        <v>250000.0</v>
      </c>
      <c r="AS36" s="117"/>
    </row>
    <row r="37" ht="22.5" customHeight="1">
      <c r="A37" s="129" t="s">
        <v>391</v>
      </c>
      <c r="B37" s="133"/>
      <c r="C37" s="130">
        <v>250000.0</v>
      </c>
      <c r="D37" s="130">
        <v>250000.0</v>
      </c>
      <c r="E37" s="130">
        <v>250000.0</v>
      </c>
      <c r="F37" s="130">
        <v>250000.0</v>
      </c>
      <c r="G37" s="133"/>
      <c r="H37" s="130">
        <v>250000.0</v>
      </c>
      <c r="I37" s="130">
        <v>250000.0</v>
      </c>
      <c r="J37" s="130">
        <v>250000.0</v>
      </c>
      <c r="K37" s="130">
        <v>250000.0</v>
      </c>
      <c r="L37" s="130">
        <v>250000.0</v>
      </c>
      <c r="M37" s="133"/>
      <c r="N37" s="131"/>
      <c r="O37" s="131"/>
      <c r="P37" s="67"/>
      <c r="Q37" s="110"/>
      <c r="R37" s="111"/>
      <c r="S37" s="112"/>
      <c r="T37" s="113"/>
      <c r="U37" s="119"/>
      <c r="V37" s="120"/>
      <c r="W37" s="114"/>
      <c r="X37" s="115" t="s">
        <v>359</v>
      </c>
      <c r="Y37" s="121">
        <v>45364.0</v>
      </c>
      <c r="Z37" s="122">
        <v>250000.0</v>
      </c>
      <c r="AA37" s="115" t="s">
        <v>392</v>
      </c>
      <c r="AB37" s="17"/>
      <c r="AC37" s="96" t="s">
        <v>393</v>
      </c>
      <c r="AD37" s="123">
        <v>45392.0</v>
      </c>
      <c r="AE37" s="124">
        <v>420000.0</v>
      </c>
      <c r="AF37" s="96" t="s">
        <v>388</v>
      </c>
      <c r="AG37" s="17"/>
      <c r="AH37" s="67" t="s">
        <v>349</v>
      </c>
      <c r="AI37" s="110">
        <v>45426.0</v>
      </c>
      <c r="AJ37" s="111">
        <v>310000.0</v>
      </c>
      <c r="AK37" s="112"/>
      <c r="AL37" s="17" t="s">
        <v>394</v>
      </c>
      <c r="AM37" s="44">
        <v>45455.0</v>
      </c>
      <c r="AN37" s="45">
        <v>300000.0</v>
      </c>
      <c r="AP37" s="31" t="s">
        <v>395</v>
      </c>
      <c r="AQ37" s="125">
        <v>45481.0</v>
      </c>
      <c r="AR37" s="126">
        <v>250000.0</v>
      </c>
      <c r="AS37" s="117"/>
    </row>
    <row r="38" ht="22.5" customHeight="1">
      <c r="A38" s="132" t="s">
        <v>194</v>
      </c>
      <c r="B38" s="130">
        <v>310000.0</v>
      </c>
      <c r="C38" s="130">
        <v>310000.0</v>
      </c>
      <c r="D38" s="130">
        <v>310000.0</v>
      </c>
      <c r="E38" s="130">
        <v>310000.0</v>
      </c>
      <c r="F38" s="130">
        <v>310000.0</v>
      </c>
      <c r="G38" s="130">
        <v>310000.0</v>
      </c>
      <c r="H38" s="130">
        <v>310000.0</v>
      </c>
      <c r="I38" s="130">
        <v>310000.0</v>
      </c>
      <c r="J38" s="130">
        <v>310000.0</v>
      </c>
      <c r="K38" s="130">
        <v>310000.0</v>
      </c>
      <c r="L38" s="130">
        <v>310000.0</v>
      </c>
      <c r="M38" s="130">
        <v>310000.0</v>
      </c>
      <c r="N38" s="131"/>
      <c r="O38" s="131"/>
      <c r="P38" s="67" t="s">
        <v>396</v>
      </c>
      <c r="Q38" s="110">
        <v>45306.0</v>
      </c>
      <c r="R38" s="111">
        <v>310000.0</v>
      </c>
      <c r="S38" s="112"/>
      <c r="T38" s="113" t="s">
        <v>397</v>
      </c>
      <c r="U38" s="137">
        <v>45506.0</v>
      </c>
      <c r="V38" s="120">
        <v>510000.0</v>
      </c>
      <c r="W38" s="114"/>
      <c r="X38" s="115" t="s">
        <v>398</v>
      </c>
      <c r="Y38" s="121">
        <v>45364.0</v>
      </c>
      <c r="Z38" s="122">
        <v>200000.0</v>
      </c>
      <c r="AA38" s="115" t="s">
        <v>358</v>
      </c>
      <c r="AB38" s="17"/>
      <c r="AC38" s="96" t="s">
        <v>280</v>
      </c>
      <c r="AD38" s="123">
        <v>45392.0</v>
      </c>
      <c r="AE38" s="124">
        <v>450000.0</v>
      </c>
      <c r="AF38" s="99"/>
      <c r="AG38" s="17"/>
      <c r="AH38" s="67" t="s">
        <v>365</v>
      </c>
      <c r="AI38" s="110">
        <v>45427.0</v>
      </c>
      <c r="AJ38" s="111">
        <v>250000.0</v>
      </c>
      <c r="AK38" s="112"/>
      <c r="AL38" s="17" t="s">
        <v>366</v>
      </c>
      <c r="AM38" s="44">
        <v>45455.0</v>
      </c>
      <c r="AN38" s="45">
        <v>250000.0</v>
      </c>
      <c r="AP38" s="31" t="s">
        <v>399</v>
      </c>
      <c r="AQ38" s="31" t="s">
        <v>400</v>
      </c>
      <c r="AR38" s="126">
        <v>190000.0</v>
      </c>
      <c r="AS38" s="117"/>
    </row>
    <row r="39" ht="22.5" customHeight="1">
      <c r="A39" s="135" t="s">
        <v>195</v>
      </c>
      <c r="B39" s="130">
        <v>250000.0</v>
      </c>
      <c r="C39" s="133">
        <v>0.0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0">
        <v>250000.0</v>
      </c>
      <c r="N39" s="136"/>
      <c r="O39" s="136"/>
      <c r="P39" s="67" t="s">
        <v>365</v>
      </c>
      <c r="Q39" s="110">
        <v>45301.0</v>
      </c>
      <c r="R39" s="111">
        <v>250000.0</v>
      </c>
      <c r="S39" s="112"/>
      <c r="T39" s="113" t="s">
        <v>401</v>
      </c>
      <c r="U39" s="119">
        <v>45331.0</v>
      </c>
      <c r="V39" s="120">
        <v>300000.0</v>
      </c>
      <c r="W39" s="114"/>
      <c r="X39" s="115" t="s">
        <v>402</v>
      </c>
      <c r="Y39" s="116"/>
      <c r="Z39" s="122">
        <v>198000.0</v>
      </c>
      <c r="AA39" s="115" t="s">
        <v>403</v>
      </c>
      <c r="AB39" s="17"/>
      <c r="AC39" s="96" t="s">
        <v>386</v>
      </c>
      <c r="AD39" s="123">
        <v>45393.0</v>
      </c>
      <c r="AE39" s="124">
        <v>310000.0</v>
      </c>
      <c r="AF39" s="99"/>
      <c r="AG39" s="17"/>
      <c r="AH39" s="67" t="s">
        <v>396</v>
      </c>
      <c r="AI39" s="110">
        <v>45429.0</v>
      </c>
      <c r="AJ39" s="111">
        <v>310000.0</v>
      </c>
      <c r="AK39" s="112"/>
      <c r="AL39" s="17" t="s">
        <v>386</v>
      </c>
      <c r="AM39" s="44">
        <v>45455.0</v>
      </c>
      <c r="AN39" s="45">
        <v>310000.0</v>
      </c>
      <c r="AP39" s="31" t="s">
        <v>386</v>
      </c>
      <c r="AQ39" s="138">
        <v>45603.0</v>
      </c>
      <c r="AR39" s="126">
        <v>310000.0</v>
      </c>
      <c r="AS39" s="117"/>
    </row>
    <row r="40" ht="22.5" customHeight="1">
      <c r="A40" s="135" t="s">
        <v>404</v>
      </c>
      <c r="B40" s="133"/>
      <c r="C40" s="133"/>
      <c r="D40" s="133"/>
      <c r="E40" s="133"/>
      <c r="F40" s="133"/>
      <c r="G40" s="130">
        <v>320000.0</v>
      </c>
      <c r="H40" s="130">
        <v>320000.0</v>
      </c>
      <c r="I40" s="133"/>
      <c r="J40" s="133"/>
      <c r="K40" s="133"/>
      <c r="L40" s="133"/>
      <c r="M40" s="133"/>
      <c r="N40" s="136"/>
      <c r="O40" s="136"/>
      <c r="P40" s="67"/>
      <c r="Q40" s="110"/>
      <c r="R40" s="111"/>
      <c r="S40" s="112"/>
      <c r="T40" s="113"/>
      <c r="U40" s="119"/>
      <c r="V40" s="120"/>
      <c r="W40" s="114"/>
      <c r="X40" s="115"/>
      <c r="Y40" s="116"/>
      <c r="Z40" s="122"/>
      <c r="AA40" s="115"/>
      <c r="AB40" s="17"/>
      <c r="AC40" s="96"/>
      <c r="AD40" s="123"/>
      <c r="AE40" s="124"/>
      <c r="AF40" s="99"/>
      <c r="AG40" s="17"/>
      <c r="AH40" s="67" t="s">
        <v>386</v>
      </c>
      <c r="AI40" s="110">
        <v>45429.0</v>
      </c>
      <c r="AJ40" s="111">
        <v>310000.0</v>
      </c>
      <c r="AK40" s="112"/>
      <c r="AL40" s="17" t="s">
        <v>393</v>
      </c>
      <c r="AM40" s="44">
        <v>45455.0</v>
      </c>
      <c r="AN40" s="45">
        <v>420000.0</v>
      </c>
      <c r="AO40" s="17" t="s">
        <v>405</v>
      </c>
      <c r="AP40" s="31" t="s">
        <v>396</v>
      </c>
      <c r="AQ40" s="31" t="s">
        <v>406</v>
      </c>
      <c r="AR40" s="126">
        <v>310000.0</v>
      </c>
      <c r="AS40" s="117"/>
    </row>
    <row r="41" ht="22.5" customHeight="1">
      <c r="A41" s="132" t="s">
        <v>196</v>
      </c>
      <c r="B41" s="130">
        <v>310000.0</v>
      </c>
      <c r="C41" s="130">
        <v>310000.0</v>
      </c>
      <c r="D41" s="130">
        <v>310000.0</v>
      </c>
      <c r="E41" s="130">
        <v>310000.0</v>
      </c>
      <c r="F41" s="130">
        <v>310000.0</v>
      </c>
      <c r="G41" s="130">
        <v>310000.0</v>
      </c>
      <c r="H41" s="130">
        <v>310000.0</v>
      </c>
      <c r="I41" s="130">
        <v>310000.0</v>
      </c>
      <c r="J41" s="130">
        <v>310000.0</v>
      </c>
      <c r="K41" s="130">
        <v>310000.0</v>
      </c>
      <c r="L41" s="130">
        <v>310000.0</v>
      </c>
      <c r="M41" s="130">
        <v>310000.0</v>
      </c>
      <c r="N41" s="131"/>
      <c r="O41" s="131"/>
      <c r="P41" s="67" t="s">
        <v>381</v>
      </c>
      <c r="Q41" s="110">
        <v>45308.0</v>
      </c>
      <c r="R41" s="111">
        <v>250000.0</v>
      </c>
      <c r="S41" s="112"/>
      <c r="T41" s="113" t="s">
        <v>407</v>
      </c>
      <c r="U41" s="119">
        <v>45334.0</v>
      </c>
      <c r="V41" s="120">
        <v>310000.0</v>
      </c>
      <c r="W41" s="114"/>
      <c r="X41" s="115" t="s">
        <v>407</v>
      </c>
      <c r="Y41" s="121">
        <v>45364.0</v>
      </c>
      <c r="Z41" s="122">
        <v>310000.0</v>
      </c>
      <c r="AA41" s="116"/>
      <c r="AC41" s="96" t="s">
        <v>396</v>
      </c>
      <c r="AD41" s="123">
        <v>45396.0</v>
      </c>
      <c r="AE41" s="124">
        <v>310000.0</v>
      </c>
      <c r="AF41" s="99"/>
      <c r="AH41" s="67" t="s">
        <v>357</v>
      </c>
      <c r="AI41" s="110">
        <v>45433.0</v>
      </c>
      <c r="AJ41" s="111">
        <v>250000.0</v>
      </c>
      <c r="AK41" s="67" t="s">
        <v>405</v>
      </c>
      <c r="AL41" s="17" t="s">
        <v>408</v>
      </c>
      <c r="AM41" s="44">
        <v>45457.0</v>
      </c>
      <c r="AN41" s="45">
        <v>310000.0</v>
      </c>
      <c r="AP41" s="31" t="s">
        <v>409</v>
      </c>
      <c r="AQ41" s="31" t="s">
        <v>406</v>
      </c>
      <c r="AR41" s="126">
        <v>420000.0</v>
      </c>
      <c r="AS41" s="31" t="s">
        <v>405</v>
      </c>
    </row>
    <row r="42" ht="22.5" customHeight="1">
      <c r="A42" s="132" t="s">
        <v>410</v>
      </c>
      <c r="B42" s="133"/>
      <c r="C42" s="133"/>
      <c r="D42" s="133"/>
      <c r="E42" s="133"/>
      <c r="F42" s="133"/>
      <c r="G42" s="130">
        <v>320000.0</v>
      </c>
      <c r="H42" s="130">
        <v>320000.0</v>
      </c>
      <c r="I42" s="130">
        <v>320000.0</v>
      </c>
      <c r="J42" s="130">
        <v>320000.0</v>
      </c>
      <c r="K42" s="130">
        <v>320000.0</v>
      </c>
      <c r="L42" s="130">
        <v>320000.0</v>
      </c>
      <c r="M42" s="130">
        <v>320000.0</v>
      </c>
      <c r="N42" s="131"/>
      <c r="O42" s="131"/>
      <c r="P42" s="67"/>
      <c r="Q42" s="110"/>
      <c r="R42" s="111"/>
      <c r="S42" s="112"/>
      <c r="T42" s="113"/>
      <c r="U42" s="119"/>
      <c r="V42" s="120"/>
      <c r="W42" s="114"/>
      <c r="X42" s="115"/>
      <c r="Y42" s="121"/>
      <c r="Z42" s="122"/>
      <c r="AA42" s="116"/>
      <c r="AC42" s="96"/>
      <c r="AD42" s="123"/>
      <c r="AE42" s="124"/>
      <c r="AF42" s="99"/>
      <c r="AH42" s="67" t="s">
        <v>411</v>
      </c>
      <c r="AI42" s="110">
        <v>45438.0</v>
      </c>
      <c r="AJ42" s="111">
        <v>380000.0</v>
      </c>
      <c r="AK42" s="112"/>
      <c r="AL42" s="17" t="s">
        <v>380</v>
      </c>
      <c r="AM42" s="44">
        <v>45460.0</v>
      </c>
      <c r="AN42" s="45">
        <v>125000.0</v>
      </c>
      <c r="AP42" s="31" t="s">
        <v>375</v>
      </c>
      <c r="AQ42" s="125">
        <v>45489.0</v>
      </c>
      <c r="AR42" s="126">
        <v>450000.0</v>
      </c>
      <c r="AS42" s="117"/>
    </row>
    <row r="43" ht="22.5" customHeight="1">
      <c r="A43" s="135" t="s">
        <v>197</v>
      </c>
      <c r="B43" s="130">
        <v>380000.0</v>
      </c>
      <c r="C43" s="130">
        <v>380000.0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6"/>
      <c r="O43" s="136"/>
      <c r="P43" s="67" t="s">
        <v>359</v>
      </c>
      <c r="Q43" s="110">
        <v>45301.0</v>
      </c>
      <c r="R43" s="111">
        <v>250000.0</v>
      </c>
      <c r="S43" s="112"/>
      <c r="T43" s="113" t="s">
        <v>370</v>
      </c>
      <c r="U43" s="119">
        <v>45330.0</v>
      </c>
      <c r="V43" s="120">
        <v>420000.0</v>
      </c>
      <c r="W43" s="113" t="s">
        <v>358</v>
      </c>
      <c r="X43" s="115" t="s">
        <v>412</v>
      </c>
      <c r="Y43" s="121">
        <v>45364.0</v>
      </c>
      <c r="Z43" s="122">
        <v>300000.0</v>
      </c>
      <c r="AA43" s="116"/>
      <c r="AC43" s="96" t="s">
        <v>357</v>
      </c>
      <c r="AD43" s="96">
        <v>0.0</v>
      </c>
      <c r="AE43" s="124">
        <v>250000.0</v>
      </c>
      <c r="AF43" s="96" t="s">
        <v>413</v>
      </c>
      <c r="AH43" s="67" t="s">
        <v>414</v>
      </c>
      <c r="AI43" s="110">
        <v>45443.0</v>
      </c>
      <c r="AJ43" s="111">
        <v>310000.0</v>
      </c>
      <c r="AK43" s="112"/>
      <c r="AL43" s="17" t="s">
        <v>397</v>
      </c>
      <c r="AM43" s="44">
        <v>45463.0</v>
      </c>
      <c r="AN43" s="45">
        <v>770000.0</v>
      </c>
      <c r="AP43" s="31" t="s">
        <v>407</v>
      </c>
      <c r="AQ43" s="125">
        <v>45489.0</v>
      </c>
      <c r="AR43" s="126">
        <v>310000.0</v>
      </c>
      <c r="AS43" s="117"/>
    </row>
    <row r="44" ht="22.5" customHeight="1">
      <c r="A44" s="132" t="s">
        <v>415</v>
      </c>
      <c r="B44" s="133"/>
      <c r="C44" s="133"/>
      <c r="D44" s="133"/>
      <c r="E44" s="133"/>
      <c r="F44" s="133"/>
      <c r="G44" s="133"/>
      <c r="H44" s="133"/>
      <c r="I44" s="130">
        <v>105000.0</v>
      </c>
      <c r="J44" s="130">
        <v>450000.0</v>
      </c>
      <c r="K44" s="130">
        <v>450000.0</v>
      </c>
      <c r="L44" s="130">
        <v>450000.0</v>
      </c>
      <c r="M44" s="130">
        <v>450000.0</v>
      </c>
      <c r="N44" s="131"/>
      <c r="O44" s="131"/>
      <c r="P44" s="67"/>
      <c r="Q44" s="110"/>
      <c r="R44" s="111"/>
      <c r="S44" s="112"/>
      <c r="T44" s="113"/>
      <c r="U44" s="119"/>
      <c r="V44" s="120"/>
      <c r="W44" s="113"/>
      <c r="X44" s="115"/>
      <c r="Y44" s="121"/>
      <c r="Z44" s="122"/>
      <c r="AA44" s="116"/>
      <c r="AC44" s="96"/>
      <c r="AD44" s="96"/>
      <c r="AE44" s="124"/>
      <c r="AF44" s="96"/>
      <c r="AH44" s="67"/>
      <c r="AI44" s="110"/>
      <c r="AJ44" s="111"/>
      <c r="AK44" s="112"/>
      <c r="AL44" s="17"/>
      <c r="AM44" s="44"/>
      <c r="AN44" s="45"/>
      <c r="AP44" s="31"/>
      <c r="AQ44" s="125"/>
      <c r="AR44" s="126"/>
      <c r="AS44" s="117"/>
    </row>
    <row r="45" ht="22.5" customHeight="1">
      <c r="A45" s="132" t="s">
        <v>154</v>
      </c>
      <c r="B45" s="130">
        <v>310000.0</v>
      </c>
      <c r="C45" s="130">
        <v>310000.0</v>
      </c>
      <c r="D45" s="130">
        <v>310000.0</v>
      </c>
      <c r="E45" s="130">
        <v>310000.0</v>
      </c>
      <c r="F45" s="130">
        <v>310000.0</v>
      </c>
      <c r="G45" s="130">
        <v>310000.0</v>
      </c>
      <c r="H45" s="130">
        <v>310000.0</v>
      </c>
      <c r="I45" s="130">
        <v>310000.0</v>
      </c>
      <c r="J45" s="130">
        <v>300000.0</v>
      </c>
      <c r="K45" s="130">
        <v>310000.0</v>
      </c>
      <c r="L45" s="130">
        <v>310000.0</v>
      </c>
      <c r="M45" s="130">
        <v>310000.0</v>
      </c>
      <c r="N45" s="131"/>
      <c r="O45" s="131"/>
      <c r="P45" s="67" t="s">
        <v>386</v>
      </c>
      <c r="Q45" s="110">
        <v>45309.0</v>
      </c>
      <c r="R45" s="111">
        <v>310000.0</v>
      </c>
      <c r="S45" s="112"/>
      <c r="T45" s="113" t="s">
        <v>416</v>
      </c>
      <c r="U45" s="119">
        <v>45334.0</v>
      </c>
      <c r="V45" s="120">
        <v>250000.0</v>
      </c>
      <c r="W45" s="114"/>
      <c r="X45" s="115" t="s">
        <v>343</v>
      </c>
      <c r="Y45" s="121">
        <v>45364.0</v>
      </c>
      <c r="Z45" s="122">
        <v>300000.0</v>
      </c>
      <c r="AA45" s="116"/>
      <c r="AC45" s="96" t="s">
        <v>411</v>
      </c>
      <c r="AD45" s="123">
        <v>45411.0</v>
      </c>
      <c r="AE45" s="124">
        <v>380000.0</v>
      </c>
      <c r="AF45" s="99"/>
      <c r="AH45" s="67" t="s">
        <v>397</v>
      </c>
      <c r="AI45" s="110">
        <v>45448.0</v>
      </c>
      <c r="AJ45" s="111">
        <v>250000.0</v>
      </c>
      <c r="AK45" s="112"/>
      <c r="AL45" s="67" t="s">
        <v>411</v>
      </c>
      <c r="AM45" s="44">
        <v>45469.0</v>
      </c>
      <c r="AN45" s="45">
        <v>380000.0</v>
      </c>
      <c r="AP45" s="31" t="s">
        <v>381</v>
      </c>
      <c r="AQ45" s="125">
        <v>45489.0</v>
      </c>
      <c r="AR45" s="126">
        <v>250000.0</v>
      </c>
      <c r="AS45" s="31" t="s">
        <v>417</v>
      </c>
    </row>
    <row r="46" ht="22.5" customHeight="1">
      <c r="A46" s="135" t="s">
        <v>198</v>
      </c>
      <c r="B46" s="130">
        <v>310000.0</v>
      </c>
      <c r="C46" s="130">
        <v>310000.0</v>
      </c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6"/>
      <c r="O46" s="136"/>
      <c r="P46" s="67" t="s">
        <v>418</v>
      </c>
      <c r="Q46" s="110">
        <v>45311.0</v>
      </c>
      <c r="R46" s="111">
        <v>250000.0</v>
      </c>
      <c r="S46" s="112"/>
      <c r="T46" s="113" t="s">
        <v>343</v>
      </c>
      <c r="U46" s="119">
        <v>45337.0</v>
      </c>
      <c r="V46" s="120">
        <v>300000.0</v>
      </c>
      <c r="W46" s="114"/>
      <c r="X46" s="115" t="s">
        <v>381</v>
      </c>
      <c r="Y46" s="121">
        <v>45364.0</v>
      </c>
      <c r="Z46" s="122">
        <v>250000.0</v>
      </c>
      <c r="AA46" s="116"/>
      <c r="AC46" s="96" t="s">
        <v>419</v>
      </c>
      <c r="AD46" s="123">
        <v>45413.0</v>
      </c>
      <c r="AE46" s="124">
        <v>310000.0</v>
      </c>
      <c r="AF46" s="99"/>
      <c r="AH46" s="112"/>
      <c r="AI46" s="112"/>
      <c r="AJ46" s="139"/>
      <c r="AK46" s="112"/>
      <c r="AL46" s="17" t="s">
        <v>414</v>
      </c>
      <c r="AM46" s="44">
        <v>45481.0</v>
      </c>
      <c r="AN46" s="45">
        <v>320000.0</v>
      </c>
      <c r="AP46" s="31" t="s">
        <v>411</v>
      </c>
      <c r="AQ46" s="125">
        <v>45502.0</v>
      </c>
      <c r="AR46" s="126">
        <v>380000.0</v>
      </c>
      <c r="AS46" s="117"/>
    </row>
    <row r="47" ht="22.5" customHeight="1">
      <c r="A47" s="129" t="s">
        <v>420</v>
      </c>
      <c r="B47" s="130">
        <v>62500.0</v>
      </c>
      <c r="C47" s="130">
        <v>250000.0</v>
      </c>
      <c r="D47" s="130">
        <v>250000.0</v>
      </c>
      <c r="E47" s="130">
        <v>250000.0</v>
      </c>
      <c r="F47" s="130">
        <v>250000.0</v>
      </c>
      <c r="G47" s="130">
        <v>125000.0</v>
      </c>
      <c r="H47" s="130">
        <v>250000.0</v>
      </c>
      <c r="I47" s="130">
        <v>250000.0</v>
      </c>
      <c r="J47" s="130">
        <v>250000.0</v>
      </c>
      <c r="K47" s="130">
        <v>250000.0</v>
      </c>
      <c r="L47" s="130">
        <v>250000.0</v>
      </c>
      <c r="M47" s="130">
        <v>250000.0</v>
      </c>
      <c r="N47" s="131"/>
      <c r="O47" s="131"/>
      <c r="P47" s="67" t="s">
        <v>370</v>
      </c>
      <c r="Q47" s="110">
        <v>45315.0</v>
      </c>
      <c r="R47" s="111">
        <v>420000.0</v>
      </c>
      <c r="S47" s="67" t="s">
        <v>421</v>
      </c>
      <c r="T47" s="113" t="s">
        <v>365</v>
      </c>
      <c r="U47" s="119">
        <v>45338.0</v>
      </c>
      <c r="V47" s="120">
        <v>250000.0</v>
      </c>
      <c r="W47" s="114"/>
      <c r="X47" s="115" t="s">
        <v>396</v>
      </c>
      <c r="Y47" s="121">
        <v>45366.0</v>
      </c>
      <c r="Z47" s="122">
        <v>310000.0</v>
      </c>
      <c r="AA47" s="116"/>
      <c r="AC47" s="96" t="s">
        <v>361</v>
      </c>
      <c r="AD47" s="123">
        <v>45392.0</v>
      </c>
      <c r="AE47" s="124">
        <v>300000.0</v>
      </c>
      <c r="AF47" s="99"/>
      <c r="AH47" s="112"/>
      <c r="AI47" s="112"/>
      <c r="AJ47" s="139">
        <f>SUM(AJ3:AJ46)</f>
        <v>10605000</v>
      </c>
      <c r="AK47" s="112"/>
      <c r="AN47" s="72"/>
      <c r="AP47" s="31" t="s">
        <v>414</v>
      </c>
      <c r="AQ47" s="125">
        <v>45503.0</v>
      </c>
      <c r="AR47" s="126">
        <v>320000.0</v>
      </c>
      <c r="AS47" s="117"/>
    </row>
    <row r="48" ht="22.5" customHeight="1">
      <c r="A48" s="129" t="s">
        <v>200</v>
      </c>
      <c r="B48" s="130">
        <v>250000.0</v>
      </c>
      <c r="C48" s="130">
        <v>250000.0</v>
      </c>
      <c r="D48" s="130">
        <v>250000.0</v>
      </c>
      <c r="E48" s="130">
        <v>250000.0</v>
      </c>
      <c r="F48" s="130">
        <v>250000.0</v>
      </c>
      <c r="G48" s="130">
        <v>250000.0</v>
      </c>
      <c r="H48" s="130">
        <v>250000.0</v>
      </c>
      <c r="I48" s="130">
        <v>250000.0</v>
      </c>
      <c r="J48" s="130">
        <v>250000.0</v>
      </c>
      <c r="K48" s="130">
        <v>250000.0</v>
      </c>
      <c r="L48" s="130">
        <v>250000.0</v>
      </c>
      <c r="M48" s="130">
        <v>250000.0</v>
      </c>
      <c r="N48" s="131"/>
      <c r="O48" s="131"/>
      <c r="P48" s="67" t="s">
        <v>380</v>
      </c>
      <c r="Q48" s="110">
        <v>45316.0</v>
      </c>
      <c r="R48" s="111">
        <v>62500.0</v>
      </c>
      <c r="S48" s="112"/>
      <c r="T48" s="113" t="s">
        <v>396</v>
      </c>
      <c r="U48" s="119">
        <v>45337.0</v>
      </c>
      <c r="V48" s="120">
        <v>310000.0</v>
      </c>
      <c r="W48" s="114"/>
      <c r="X48" s="115" t="s">
        <v>370</v>
      </c>
      <c r="Y48" s="121">
        <v>45366.0</v>
      </c>
      <c r="Z48" s="122">
        <v>420000.0</v>
      </c>
      <c r="AA48" s="115" t="s">
        <v>358</v>
      </c>
      <c r="AB48" s="17"/>
      <c r="AC48" s="96" t="s">
        <v>397</v>
      </c>
      <c r="AD48" s="123">
        <v>45417.0</v>
      </c>
      <c r="AE48" s="124">
        <v>250000.0</v>
      </c>
      <c r="AF48" s="99"/>
      <c r="AG48" s="17"/>
      <c r="AH48" s="67" t="s">
        <v>422</v>
      </c>
      <c r="AI48" s="110">
        <v>45448.0</v>
      </c>
      <c r="AJ48" s="111">
        <v>2990000.0</v>
      </c>
      <c r="AK48" s="112"/>
      <c r="AN48" s="72"/>
      <c r="AP48" s="31" t="s">
        <v>423</v>
      </c>
      <c r="AQ48" s="125">
        <v>45507.0</v>
      </c>
      <c r="AR48" s="126">
        <v>1000000.0</v>
      </c>
      <c r="AS48" s="117"/>
    </row>
    <row r="49" ht="22.5" customHeight="1">
      <c r="A49" s="135" t="s">
        <v>424</v>
      </c>
      <c r="B49" s="133"/>
      <c r="C49" s="130">
        <v>450000.0</v>
      </c>
      <c r="D49" s="140">
        <v>450000.0</v>
      </c>
      <c r="E49" s="140">
        <v>450000.0</v>
      </c>
      <c r="F49" s="140">
        <v>450000.0</v>
      </c>
      <c r="G49" s="140">
        <v>450000.0</v>
      </c>
      <c r="H49" s="140">
        <v>450000.0</v>
      </c>
      <c r="I49" s="140">
        <v>450000.0</v>
      </c>
      <c r="J49" s="130">
        <v>320000.0</v>
      </c>
      <c r="K49" s="130">
        <v>320000.0</v>
      </c>
      <c r="L49" s="133"/>
      <c r="M49" s="133"/>
      <c r="N49" s="131"/>
      <c r="O49" s="131"/>
      <c r="P49" s="67" t="s">
        <v>411</v>
      </c>
      <c r="Q49" s="110">
        <v>45316.0</v>
      </c>
      <c r="R49" s="111">
        <v>380000.0</v>
      </c>
      <c r="S49" s="112"/>
      <c r="T49" s="113" t="s">
        <v>411</v>
      </c>
      <c r="U49" s="119">
        <v>45346.0</v>
      </c>
      <c r="V49" s="120">
        <v>380000.0</v>
      </c>
      <c r="W49" s="114"/>
      <c r="X49" s="115" t="s">
        <v>397</v>
      </c>
      <c r="Y49" s="121">
        <v>45371.0</v>
      </c>
      <c r="Z49" s="122">
        <v>250000.0</v>
      </c>
      <c r="AA49" s="116"/>
      <c r="AC49" s="99"/>
      <c r="AD49" s="99"/>
      <c r="AE49" s="98"/>
      <c r="AF49" s="99"/>
      <c r="AH49" s="67" t="s">
        <v>425</v>
      </c>
      <c r="AI49" s="112"/>
      <c r="AJ49" s="111">
        <v>300000.0</v>
      </c>
      <c r="AK49" s="112"/>
      <c r="AN49" s="72">
        <f>SUM(AN3:AN48)</f>
        <v>11975000</v>
      </c>
      <c r="AP49" s="31" t="s">
        <v>397</v>
      </c>
      <c r="AQ49" s="125">
        <v>45509.0</v>
      </c>
      <c r="AR49" s="126">
        <v>250000.0</v>
      </c>
      <c r="AS49" s="117"/>
    </row>
    <row r="50" ht="22.5" customHeight="1">
      <c r="A50" s="134" t="s">
        <v>201</v>
      </c>
      <c r="B50" s="130">
        <v>420000.0</v>
      </c>
      <c r="C50" s="130">
        <v>420000.0</v>
      </c>
      <c r="D50" s="133"/>
      <c r="E50" s="133"/>
      <c r="F50" s="130">
        <v>420000.0</v>
      </c>
      <c r="G50" s="130">
        <v>420000.0</v>
      </c>
      <c r="H50" s="130">
        <v>420000.0</v>
      </c>
      <c r="I50" s="130">
        <v>420000.0</v>
      </c>
      <c r="J50" s="130">
        <v>420000.0</v>
      </c>
      <c r="K50" s="130">
        <v>420000.0</v>
      </c>
      <c r="L50" s="130">
        <v>420000.0</v>
      </c>
      <c r="M50" s="130">
        <v>140000.0</v>
      </c>
      <c r="N50" s="131"/>
      <c r="O50" s="131"/>
      <c r="P50" s="67" t="s">
        <v>426</v>
      </c>
      <c r="Q50" s="110">
        <v>45306.0</v>
      </c>
      <c r="R50" s="111">
        <v>150000.0</v>
      </c>
      <c r="S50" s="67" t="s">
        <v>421</v>
      </c>
      <c r="T50" s="113" t="s">
        <v>419</v>
      </c>
      <c r="U50" s="119">
        <v>45352.0</v>
      </c>
      <c r="V50" s="120">
        <v>310000.0</v>
      </c>
      <c r="W50" s="114"/>
      <c r="X50" s="115" t="s">
        <v>427</v>
      </c>
      <c r="Y50" s="121">
        <v>45372.0</v>
      </c>
      <c r="Z50" s="122">
        <v>70000.0</v>
      </c>
      <c r="AA50" s="115" t="s">
        <v>428</v>
      </c>
      <c r="AB50" s="17"/>
      <c r="AC50" s="99"/>
      <c r="AD50" s="99"/>
      <c r="AE50" s="98">
        <f>SUM(AE3:AE49)</f>
        <v>9930000</v>
      </c>
      <c r="AF50" s="99"/>
      <c r="AG50" s="17"/>
      <c r="AH50" s="67" t="s">
        <v>429</v>
      </c>
      <c r="AI50" s="112"/>
      <c r="AJ50" s="111">
        <v>454000.0</v>
      </c>
      <c r="AK50" s="112"/>
      <c r="AL50" s="17" t="s">
        <v>430</v>
      </c>
      <c r="AM50" s="44">
        <v>45478.0</v>
      </c>
      <c r="AN50" s="45">
        <v>2795000.0</v>
      </c>
      <c r="AP50" s="31" t="s">
        <v>431</v>
      </c>
      <c r="AQ50" s="117"/>
      <c r="AR50" s="126">
        <v>829000.0</v>
      </c>
      <c r="AS50" s="31" t="s">
        <v>432</v>
      </c>
    </row>
    <row r="51" ht="22.5" customHeight="1">
      <c r="A51" s="132" t="s">
        <v>13</v>
      </c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0">
        <v>420000.0</v>
      </c>
      <c r="M51" s="130">
        <v>420000.0</v>
      </c>
      <c r="N51" s="131"/>
      <c r="O51" s="131"/>
      <c r="P51" s="67"/>
      <c r="Q51" s="110"/>
      <c r="R51" s="111"/>
      <c r="S51" s="67"/>
      <c r="T51" s="114"/>
      <c r="U51" s="114"/>
      <c r="V51" s="114"/>
      <c r="W51" s="114"/>
      <c r="X51" s="115"/>
      <c r="Y51" s="121"/>
      <c r="Z51" s="122"/>
      <c r="AA51" s="116"/>
      <c r="AC51" s="96"/>
      <c r="AD51" s="99"/>
      <c r="AE51" s="124"/>
      <c r="AF51" s="99"/>
      <c r="AH51" s="112"/>
      <c r="AI51" s="112"/>
      <c r="AJ51" s="139"/>
      <c r="AK51" s="112"/>
      <c r="AL51" s="17"/>
      <c r="AM51" s="44"/>
      <c r="AN51" s="45"/>
      <c r="AP51" s="117"/>
      <c r="AQ51" s="117"/>
      <c r="AR51" s="104"/>
      <c r="AS51" s="117"/>
    </row>
    <row r="52" ht="22.5" customHeight="1">
      <c r="A52" s="132" t="s">
        <v>204</v>
      </c>
      <c r="B52" s="130">
        <v>310000.0</v>
      </c>
      <c r="C52" s="130">
        <v>310000.0</v>
      </c>
      <c r="D52" s="130">
        <v>310000.0</v>
      </c>
      <c r="E52" s="130">
        <v>310000.0</v>
      </c>
      <c r="F52" s="130">
        <v>310000.0</v>
      </c>
      <c r="G52" s="130">
        <v>310000.0</v>
      </c>
      <c r="H52" s="130">
        <v>310000.0</v>
      </c>
      <c r="I52" s="130">
        <v>310000.0</v>
      </c>
      <c r="J52" s="133"/>
      <c r="K52" s="130">
        <v>310000.0</v>
      </c>
      <c r="L52" s="130">
        <v>310000.0</v>
      </c>
      <c r="M52" s="130">
        <v>310000.0</v>
      </c>
      <c r="N52" s="131"/>
      <c r="O52" s="131"/>
      <c r="P52" s="67" t="s">
        <v>278</v>
      </c>
      <c r="Q52" s="110">
        <v>45320.0</v>
      </c>
      <c r="R52" s="111">
        <v>70000.0</v>
      </c>
      <c r="S52" s="67" t="s">
        <v>433</v>
      </c>
      <c r="T52" s="114"/>
      <c r="U52" s="114"/>
      <c r="V52" s="114"/>
      <c r="W52" s="114"/>
      <c r="X52" s="115" t="s">
        <v>411</v>
      </c>
      <c r="Y52" s="121">
        <v>45377.0</v>
      </c>
      <c r="Z52" s="122">
        <v>380000.0</v>
      </c>
      <c r="AA52" s="116"/>
      <c r="AC52" s="96" t="s">
        <v>434</v>
      </c>
      <c r="AD52" s="99"/>
      <c r="AE52" s="124">
        <v>3120000.0</v>
      </c>
      <c r="AF52" s="99"/>
      <c r="AH52" s="112"/>
      <c r="AI52" s="112"/>
      <c r="AJ52" s="139"/>
      <c r="AK52" s="112"/>
      <c r="AL52" s="17" t="s">
        <v>435</v>
      </c>
      <c r="AM52" s="44">
        <v>45482.0</v>
      </c>
      <c r="AN52" s="45">
        <v>300000.0</v>
      </c>
      <c r="AP52" s="117"/>
      <c r="AQ52" s="117"/>
      <c r="AR52" s="104"/>
      <c r="AS52" s="117"/>
    </row>
    <row r="53" ht="22.5" customHeight="1">
      <c r="A53" s="132" t="s">
        <v>436</v>
      </c>
      <c r="B53" s="130">
        <v>420000.0</v>
      </c>
      <c r="C53" s="130">
        <v>420000.0</v>
      </c>
      <c r="D53" s="130">
        <v>420000.0</v>
      </c>
      <c r="E53" s="130">
        <v>420000.0</v>
      </c>
      <c r="F53" s="130">
        <v>420000.0</v>
      </c>
      <c r="G53" s="130">
        <v>420000.0</v>
      </c>
      <c r="H53" s="133"/>
      <c r="I53" s="130">
        <v>420000.0</v>
      </c>
      <c r="J53" s="130">
        <v>420000.0</v>
      </c>
      <c r="K53" s="130">
        <v>420000.0</v>
      </c>
      <c r="L53" s="130">
        <v>420000.0</v>
      </c>
      <c r="M53" s="130">
        <v>420000.0</v>
      </c>
      <c r="N53" s="131"/>
      <c r="O53" s="131"/>
      <c r="P53" s="67" t="s">
        <v>437</v>
      </c>
      <c r="Q53" s="110">
        <v>45292.0</v>
      </c>
      <c r="R53" s="111">
        <v>380000.0</v>
      </c>
      <c r="S53" s="112"/>
      <c r="T53" s="114"/>
      <c r="U53" s="114"/>
      <c r="V53" s="141">
        <f>SUM(V3:V50)</f>
        <v>9860000</v>
      </c>
      <c r="W53" s="114"/>
      <c r="X53" s="115" t="s">
        <v>438</v>
      </c>
      <c r="Y53" s="121">
        <v>45384.0</v>
      </c>
      <c r="Z53" s="115">
        <v>310000.0</v>
      </c>
      <c r="AA53" s="116"/>
      <c r="AC53" s="99"/>
      <c r="AD53" s="96" t="s">
        <v>439</v>
      </c>
      <c r="AE53" s="98">
        <f>AE50-AE52</f>
        <v>6810000</v>
      </c>
      <c r="AF53" s="99"/>
      <c r="AH53" s="67" t="s">
        <v>440</v>
      </c>
      <c r="AI53" s="112"/>
      <c r="AJ53" s="139">
        <f>AJ47-AJ48-AJ49-AJ50</f>
        <v>6861000</v>
      </c>
      <c r="AK53" s="112"/>
      <c r="AN53" s="72">
        <f>AN49-AN50-AN52</f>
        <v>8880000</v>
      </c>
      <c r="AP53" s="117"/>
      <c r="AQ53" s="117"/>
      <c r="AR53" s="104">
        <f>SUM(AR3:AR52)</f>
        <v>15523000</v>
      </c>
      <c r="AS53" s="117"/>
    </row>
    <row r="54" ht="22.5" customHeight="1">
      <c r="A54" s="135" t="s">
        <v>441</v>
      </c>
      <c r="B54" s="130">
        <v>150000.0</v>
      </c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6"/>
      <c r="O54" s="136"/>
      <c r="P54" s="67" t="s">
        <v>423</v>
      </c>
      <c r="Q54" s="110">
        <v>45324.0</v>
      </c>
      <c r="R54" s="111">
        <v>1000000.0</v>
      </c>
      <c r="S54" s="112"/>
      <c r="T54" s="113" t="s">
        <v>442</v>
      </c>
      <c r="U54" s="114"/>
      <c r="V54" s="120">
        <v>2844000.0</v>
      </c>
      <c r="W54" s="114"/>
      <c r="X54" s="116"/>
      <c r="Y54" s="116"/>
      <c r="Z54" s="116"/>
      <c r="AA54" s="116"/>
      <c r="AC54" s="96" t="s">
        <v>443</v>
      </c>
      <c r="AD54" s="99"/>
      <c r="AE54" s="98">
        <f>AE53-E138</f>
        <v>327500</v>
      </c>
      <c r="AF54" s="99"/>
      <c r="AM54" s="65" t="s">
        <v>444</v>
      </c>
      <c r="AN54" s="142">
        <f>AN53-G138</f>
        <v>241500</v>
      </c>
      <c r="AP54" s="31" t="s">
        <v>434</v>
      </c>
      <c r="AQ54" s="117"/>
      <c r="AR54" s="126">
        <v>3056000.0</v>
      </c>
      <c r="AS54" s="117"/>
    </row>
    <row r="55" ht="22.5" customHeight="1">
      <c r="A55" s="135" t="s">
        <v>114</v>
      </c>
      <c r="B55" s="130">
        <v>266000.0</v>
      </c>
      <c r="C55" s="130">
        <v>380000.0</v>
      </c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6"/>
      <c r="O55" s="136"/>
      <c r="P55" s="112"/>
      <c r="Q55" s="67" t="s">
        <v>445</v>
      </c>
      <c r="R55" s="139">
        <f>SUM(R3:R54)</f>
        <v>14228500</v>
      </c>
      <c r="S55" s="112"/>
      <c r="T55" s="114"/>
      <c r="U55" s="113" t="s">
        <v>256</v>
      </c>
      <c r="V55" s="141">
        <f>V53-V54</f>
        <v>7016000</v>
      </c>
      <c r="W55" s="114"/>
      <c r="X55" s="115" t="s">
        <v>446</v>
      </c>
      <c r="Y55" s="116"/>
      <c r="Z55" s="143">
        <f>SUM(Z3:Z54)</f>
        <v>10108000</v>
      </c>
      <c r="AA55" s="116"/>
      <c r="AL55" s="144"/>
      <c r="AM55" s="144"/>
      <c r="AN55" s="144"/>
      <c r="AO55" s="144"/>
      <c r="AP55" s="31" t="s">
        <v>447</v>
      </c>
      <c r="AQ55" s="145"/>
      <c r="AR55" s="104">
        <f>AR53-AR54</f>
        <v>12467000</v>
      </c>
      <c r="AS55" s="117"/>
    </row>
    <row r="56" ht="22.5" customHeight="1">
      <c r="A56" s="135" t="s">
        <v>448</v>
      </c>
      <c r="B56" s="133"/>
      <c r="C56" s="133"/>
      <c r="D56" s="133"/>
      <c r="E56" s="133"/>
      <c r="F56" s="133"/>
      <c r="G56" s="133"/>
      <c r="H56" s="130">
        <v>394000.0</v>
      </c>
      <c r="I56" s="130">
        <v>320000.0</v>
      </c>
      <c r="J56" s="130">
        <v>320000.0</v>
      </c>
      <c r="K56" s="130">
        <v>320000.0</v>
      </c>
      <c r="L56" s="130">
        <v>320000.0</v>
      </c>
      <c r="M56" s="133"/>
      <c r="N56" s="131"/>
      <c r="O56" s="131"/>
      <c r="P56" s="112"/>
      <c r="Q56" s="67"/>
      <c r="R56" s="139"/>
      <c r="S56" s="112"/>
      <c r="T56" s="114"/>
      <c r="U56" s="113"/>
      <c r="V56" s="141"/>
      <c r="W56" s="114"/>
      <c r="X56" s="115"/>
      <c r="Y56" s="116"/>
      <c r="Z56" s="143"/>
      <c r="AA56" s="116"/>
      <c r="AL56" s="144"/>
      <c r="AM56" s="144"/>
      <c r="AN56" s="144"/>
      <c r="AO56" s="144"/>
      <c r="AP56" s="144"/>
      <c r="AQ56" s="144"/>
      <c r="AR56" s="144"/>
      <c r="AS56" s="144"/>
    </row>
    <row r="57" ht="22.5" customHeight="1">
      <c r="A57" s="132" t="s">
        <v>66</v>
      </c>
      <c r="B57" s="130">
        <v>380000.0</v>
      </c>
      <c r="C57" s="130">
        <v>310000.0</v>
      </c>
      <c r="D57" s="130">
        <v>310000.0</v>
      </c>
      <c r="E57" s="130">
        <v>310000.0</v>
      </c>
      <c r="F57" s="130">
        <v>310000.0</v>
      </c>
      <c r="G57" s="130">
        <v>320000.0</v>
      </c>
      <c r="H57" s="130">
        <v>320000.0</v>
      </c>
      <c r="I57" s="130">
        <v>320000.0</v>
      </c>
      <c r="J57" s="130">
        <v>320000.0</v>
      </c>
      <c r="K57" s="130">
        <v>320000.0</v>
      </c>
      <c r="L57" s="130">
        <v>320000.0</v>
      </c>
      <c r="M57" s="130">
        <v>320000.0</v>
      </c>
      <c r="N57" s="131"/>
      <c r="O57" s="131"/>
      <c r="P57" s="67" t="s">
        <v>425</v>
      </c>
      <c r="Q57" s="112"/>
      <c r="R57" s="111">
        <v>300000.0</v>
      </c>
      <c r="S57" s="67" t="s">
        <v>449</v>
      </c>
      <c r="T57" s="114"/>
      <c r="U57" s="113" t="s">
        <v>450</v>
      </c>
      <c r="V57" s="141">
        <f>C138</f>
        <v>6967000</v>
      </c>
      <c r="W57" s="114"/>
      <c r="X57" s="115" t="s">
        <v>451</v>
      </c>
      <c r="Y57" s="116"/>
      <c r="Z57" s="122">
        <v>2860000.0</v>
      </c>
      <c r="AA57" s="116"/>
      <c r="AL57" s="144"/>
      <c r="AM57" s="144"/>
      <c r="AN57" s="144"/>
      <c r="AO57" s="144"/>
      <c r="AP57" s="144"/>
      <c r="AQ57" s="144"/>
      <c r="AR57" s="144"/>
      <c r="AS57" s="144"/>
    </row>
    <row r="58" ht="22.5" customHeight="1">
      <c r="A58" s="129" t="s">
        <v>205</v>
      </c>
      <c r="B58" s="130">
        <v>250000.0</v>
      </c>
      <c r="C58" s="130">
        <v>250000.0</v>
      </c>
      <c r="D58" s="130">
        <v>250000.0</v>
      </c>
      <c r="E58" s="130">
        <v>250000.0</v>
      </c>
      <c r="F58" s="130">
        <v>250000.0</v>
      </c>
      <c r="G58" s="130">
        <v>250000.0</v>
      </c>
      <c r="H58" s="130">
        <v>250000.0</v>
      </c>
      <c r="I58" s="130">
        <v>250000.0</v>
      </c>
      <c r="J58" s="130">
        <v>250000.0</v>
      </c>
      <c r="K58" s="130">
        <v>250000.0</v>
      </c>
      <c r="L58" s="130">
        <v>250000.0</v>
      </c>
      <c r="M58" s="130">
        <v>250000.0</v>
      </c>
      <c r="N58" s="131"/>
      <c r="O58" s="131"/>
      <c r="P58" s="67" t="s">
        <v>452</v>
      </c>
      <c r="Q58" s="112"/>
      <c r="R58" s="111">
        <v>1760000.0</v>
      </c>
      <c r="S58" s="67" t="s">
        <v>453</v>
      </c>
      <c r="T58" s="114"/>
      <c r="U58" s="113" t="s">
        <v>454</v>
      </c>
      <c r="V58" s="141">
        <f>V55-V57</f>
        <v>49000</v>
      </c>
      <c r="W58" s="114"/>
      <c r="X58" s="115" t="s">
        <v>455</v>
      </c>
      <c r="Y58" s="116"/>
      <c r="Z58" s="122">
        <v>300000.0</v>
      </c>
      <c r="AA58" s="116"/>
      <c r="AC58" s="146" t="s">
        <v>456</v>
      </c>
      <c r="AD58" s="147">
        <v>2470000.0</v>
      </c>
      <c r="AE58" s="72"/>
      <c r="AH58" s="146" t="s">
        <v>457</v>
      </c>
      <c r="AI58" s="148"/>
      <c r="AJ58" s="45">
        <v>2470000.0</v>
      </c>
      <c r="AK58" s="17" t="s">
        <v>458</v>
      </c>
      <c r="AL58" s="146" t="s">
        <v>459</v>
      </c>
      <c r="AM58" s="148"/>
      <c r="AN58" s="45">
        <v>2535000.0</v>
      </c>
      <c r="AO58" s="17"/>
      <c r="AP58" s="17"/>
      <c r="AQ58" s="17"/>
      <c r="AR58" s="17"/>
      <c r="AS58" s="17" t="s">
        <v>458</v>
      </c>
    </row>
    <row r="59" ht="22.5" customHeight="1">
      <c r="A59" s="129" t="s">
        <v>209</v>
      </c>
      <c r="B59" s="130">
        <v>250000.0</v>
      </c>
      <c r="C59" s="130">
        <v>250000.0</v>
      </c>
      <c r="D59" s="130">
        <v>250000.0</v>
      </c>
      <c r="E59" s="130">
        <v>250000.0</v>
      </c>
      <c r="F59" s="130">
        <v>250000.0</v>
      </c>
      <c r="G59" s="130">
        <v>250000.0</v>
      </c>
      <c r="H59" s="130">
        <v>250000.0</v>
      </c>
      <c r="I59" s="130">
        <v>250000.0</v>
      </c>
      <c r="J59" s="130">
        <v>250000.0</v>
      </c>
      <c r="K59" s="130">
        <v>250000.0</v>
      </c>
      <c r="L59" s="130">
        <v>250000.0</v>
      </c>
      <c r="M59" s="130">
        <v>250000.0</v>
      </c>
      <c r="N59" s="131"/>
      <c r="O59" s="131"/>
      <c r="P59" s="112"/>
      <c r="Q59" s="67" t="s">
        <v>28</v>
      </c>
      <c r="R59" s="139">
        <f>R55-R57-R58</f>
        <v>12168500</v>
      </c>
      <c r="S59" s="112"/>
      <c r="T59" s="114"/>
      <c r="U59" s="114"/>
      <c r="V59" s="114"/>
      <c r="W59" s="114"/>
      <c r="X59" s="115" t="s">
        <v>429</v>
      </c>
      <c r="Y59" s="116"/>
      <c r="Z59" s="122">
        <v>792000.0</v>
      </c>
      <c r="AA59" s="116"/>
      <c r="AC59" s="146" t="s">
        <v>460</v>
      </c>
      <c r="AD59" s="149">
        <f>AD58/20</f>
        <v>123500</v>
      </c>
      <c r="AE59" s="150">
        <f>AD59/250000</f>
        <v>0.494</v>
      </c>
      <c r="AH59" s="146" t="s">
        <v>461</v>
      </c>
      <c r="AI59" s="148"/>
      <c r="AJ59" s="72">
        <f>AJ58/21</f>
        <v>117619.0476</v>
      </c>
      <c r="AK59" s="18">
        <f>AJ59/250000</f>
        <v>0.4704761905</v>
      </c>
      <c r="AL59" s="146" t="s">
        <v>461</v>
      </c>
      <c r="AM59" s="148"/>
      <c r="AN59" s="72">
        <f>AN58/23</f>
        <v>110217.3913</v>
      </c>
      <c r="AO59" s="18"/>
      <c r="AP59" s="18"/>
      <c r="AQ59" s="18"/>
      <c r="AR59" s="18"/>
      <c r="AS59" s="18">
        <f>AN59/250000</f>
        <v>0.4408695652</v>
      </c>
    </row>
    <row r="60" ht="22.5" customHeight="1">
      <c r="A60" s="134" t="s">
        <v>462</v>
      </c>
      <c r="B60" s="130">
        <v>420000.0</v>
      </c>
      <c r="C60" s="130">
        <v>420000.0</v>
      </c>
      <c r="D60" s="130">
        <v>420000.0</v>
      </c>
      <c r="E60" s="130">
        <v>420000.0</v>
      </c>
      <c r="F60" s="130">
        <v>420000.0</v>
      </c>
      <c r="G60" s="130">
        <v>420000.0</v>
      </c>
      <c r="H60" s="130">
        <v>420000.0</v>
      </c>
      <c r="I60" s="130">
        <v>420000.0</v>
      </c>
      <c r="J60" s="130">
        <v>420000.0</v>
      </c>
      <c r="K60" s="130">
        <v>420000.0</v>
      </c>
      <c r="L60" s="130">
        <v>420000.0</v>
      </c>
      <c r="M60" s="130">
        <v>420000.0</v>
      </c>
      <c r="N60" s="131"/>
      <c r="O60" s="131"/>
      <c r="P60" s="112"/>
      <c r="Q60" s="67" t="s">
        <v>463</v>
      </c>
      <c r="R60" s="139">
        <f>R59-B138</f>
        <v>451700</v>
      </c>
      <c r="S60" s="112"/>
      <c r="T60" s="114"/>
      <c r="U60" s="114"/>
      <c r="V60" s="114"/>
      <c r="W60" s="114"/>
      <c r="X60" s="115" t="s">
        <v>464</v>
      </c>
      <c r="Y60" s="116"/>
      <c r="Z60" s="143">
        <f>Z55-Z57-Z58-Z59</f>
        <v>6156000</v>
      </c>
      <c r="AA60" s="116"/>
      <c r="AE60" s="18"/>
      <c r="AJ60" s="72"/>
      <c r="AN60" s="72"/>
    </row>
    <row r="61" ht="22.5" customHeight="1">
      <c r="A61" s="135" t="s">
        <v>58</v>
      </c>
      <c r="B61" s="133"/>
      <c r="C61" s="133"/>
      <c r="D61" s="130">
        <v>200000.0</v>
      </c>
      <c r="E61" s="130">
        <v>200000.0</v>
      </c>
      <c r="F61" s="133"/>
      <c r="G61" s="133"/>
      <c r="H61" s="133"/>
      <c r="I61" s="133"/>
      <c r="J61" s="133"/>
      <c r="K61" s="133"/>
      <c r="L61" s="133"/>
      <c r="M61" s="133"/>
      <c r="N61" s="136"/>
      <c r="O61" s="136"/>
      <c r="P61" s="112"/>
      <c r="Q61" s="67"/>
      <c r="R61" s="139"/>
      <c r="S61" s="112"/>
      <c r="T61" s="114"/>
      <c r="U61" s="114"/>
      <c r="V61" s="114"/>
      <c r="W61" s="114"/>
      <c r="X61" s="115" t="s">
        <v>444</v>
      </c>
      <c r="Y61" s="116"/>
      <c r="Z61" s="143">
        <f>Z60-D138</f>
        <v>14850</v>
      </c>
      <c r="AA61" s="116"/>
      <c r="AC61" s="70" t="s">
        <v>465</v>
      </c>
      <c r="AD61" s="151">
        <v>650000.0</v>
      </c>
      <c r="AE61" s="18"/>
      <c r="AH61" s="70" t="s">
        <v>466</v>
      </c>
      <c r="AI61" s="152"/>
      <c r="AJ61" s="45">
        <v>520000.0</v>
      </c>
      <c r="AK61" s="17" t="s">
        <v>458</v>
      </c>
      <c r="AL61" s="70" t="s">
        <v>467</v>
      </c>
      <c r="AM61" s="152"/>
      <c r="AN61" s="45">
        <v>520000.0</v>
      </c>
      <c r="AO61" s="17"/>
      <c r="AP61" s="17"/>
      <c r="AQ61" s="17"/>
      <c r="AR61" s="17"/>
      <c r="AS61" s="17" t="s">
        <v>458</v>
      </c>
    </row>
    <row r="62" ht="22.5" customHeight="1">
      <c r="A62" s="134" t="s">
        <v>130</v>
      </c>
      <c r="B62" s="130">
        <v>380000.0</v>
      </c>
      <c r="C62" s="130">
        <v>380000.0</v>
      </c>
      <c r="D62" s="130">
        <v>380000.0</v>
      </c>
      <c r="E62" s="130">
        <v>380000.0</v>
      </c>
      <c r="F62" s="130">
        <v>380000.0</v>
      </c>
      <c r="G62" s="130">
        <v>380000.0</v>
      </c>
      <c r="H62" s="130">
        <v>380000.0</v>
      </c>
      <c r="I62" s="130">
        <v>380000.0</v>
      </c>
      <c r="J62" s="130">
        <v>380000.0</v>
      </c>
      <c r="K62" s="130">
        <v>380000.0</v>
      </c>
      <c r="L62" s="130">
        <v>380000.0</v>
      </c>
      <c r="M62" s="130">
        <v>380000.0</v>
      </c>
      <c r="N62" s="131"/>
      <c r="O62" s="131"/>
      <c r="T62" s="17" t="s">
        <v>468</v>
      </c>
      <c r="U62" s="45">
        <v>504000.0</v>
      </c>
      <c r="X62" s="17" t="s">
        <v>469</v>
      </c>
      <c r="Y62" s="45">
        <v>504000.0</v>
      </c>
      <c r="AC62" s="70" t="s">
        <v>460</v>
      </c>
      <c r="AD62" s="153">
        <f>AD61/6</f>
        <v>108333.3333</v>
      </c>
      <c r="AE62" s="150">
        <f>AD62/300000</f>
        <v>0.3611111111</v>
      </c>
      <c r="AH62" s="70" t="s">
        <v>461</v>
      </c>
      <c r="AI62" s="152"/>
      <c r="AJ62" s="72">
        <f>AJ61/7</f>
        <v>74285.71429</v>
      </c>
      <c r="AK62" s="18">
        <f>AJ62/300000</f>
        <v>0.2476190476</v>
      </c>
      <c r="AL62" s="70" t="s">
        <v>461</v>
      </c>
      <c r="AM62" s="152"/>
      <c r="AN62" s="72">
        <f>AN61/6</f>
        <v>86666.66667</v>
      </c>
      <c r="AO62" s="18"/>
      <c r="AP62" s="18"/>
      <c r="AQ62" s="18"/>
      <c r="AR62" s="18"/>
      <c r="AS62" s="18">
        <f>AN62/300000</f>
        <v>0.2888888889</v>
      </c>
    </row>
    <row r="63" ht="22.5" customHeight="1">
      <c r="A63" s="135" t="s">
        <v>131</v>
      </c>
      <c r="B63" s="130">
        <v>330000.0</v>
      </c>
      <c r="C63" s="130">
        <v>330000.0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6"/>
      <c r="O63" s="136"/>
      <c r="T63" s="17" t="s">
        <v>470</v>
      </c>
      <c r="U63" s="72">
        <f>U62/7</f>
        <v>72000</v>
      </c>
      <c r="X63" s="17" t="s">
        <v>470</v>
      </c>
      <c r="Y63" s="72">
        <f>Y62/7</f>
        <v>72000</v>
      </c>
      <c r="AL63" s="144"/>
      <c r="AM63" s="144"/>
      <c r="AN63" s="144"/>
      <c r="AO63" s="144"/>
      <c r="AP63" s="144"/>
      <c r="AQ63" s="144"/>
      <c r="AR63" s="144"/>
      <c r="AS63" s="144"/>
    </row>
    <row r="64" ht="22.5" customHeight="1">
      <c r="A64" s="129" t="s">
        <v>471</v>
      </c>
      <c r="B64" s="133"/>
      <c r="C64" s="133"/>
      <c r="D64" s="133"/>
      <c r="E64" s="133"/>
      <c r="F64" s="133"/>
      <c r="G64" s="130">
        <v>300000.0</v>
      </c>
      <c r="H64" s="130">
        <v>300000.0</v>
      </c>
      <c r="I64" s="130">
        <v>300000.0</v>
      </c>
      <c r="J64" s="130">
        <v>300000.0</v>
      </c>
      <c r="K64" s="130">
        <v>300000.0</v>
      </c>
      <c r="L64" s="130">
        <v>300000.0</v>
      </c>
      <c r="M64" s="130">
        <v>300000.0</v>
      </c>
      <c r="N64" s="131"/>
      <c r="O64" s="131"/>
      <c r="T64" s="17"/>
      <c r="U64" s="72"/>
      <c r="X64" s="17"/>
      <c r="Y64" s="72"/>
      <c r="AL64" s="144"/>
      <c r="AM64" s="144"/>
      <c r="AN64" s="144"/>
      <c r="AO64" s="144"/>
      <c r="AP64" s="144"/>
      <c r="AQ64" s="144"/>
      <c r="AR64" s="144"/>
      <c r="AS64" s="144"/>
    </row>
    <row r="65" ht="22.5" customHeight="1">
      <c r="A65" s="135" t="s">
        <v>472</v>
      </c>
      <c r="B65" s="133"/>
      <c r="C65" s="133"/>
      <c r="D65" s="133"/>
      <c r="E65" s="133"/>
      <c r="F65" s="133"/>
      <c r="G65" s="133"/>
      <c r="H65" s="133"/>
      <c r="I65" s="133"/>
      <c r="J65" s="130">
        <v>105000.0</v>
      </c>
      <c r="K65" s="130">
        <v>450000.0</v>
      </c>
      <c r="L65" s="133"/>
      <c r="M65" s="133"/>
      <c r="N65" s="131"/>
      <c r="O65" s="131"/>
      <c r="U65" s="154"/>
      <c r="Y65" s="72"/>
      <c r="AL65" s="144"/>
      <c r="AM65" s="144"/>
      <c r="AN65" s="144"/>
      <c r="AO65" s="144"/>
      <c r="AP65" s="144"/>
      <c r="AQ65" s="144"/>
      <c r="AR65" s="144"/>
      <c r="AS65" s="144"/>
    </row>
    <row r="66" ht="22.5" customHeight="1">
      <c r="A66" s="135" t="s">
        <v>473</v>
      </c>
      <c r="B66" s="133"/>
      <c r="C66" s="133"/>
      <c r="D66" s="130">
        <v>450000.0</v>
      </c>
      <c r="E66" s="130">
        <v>450000.0</v>
      </c>
      <c r="F66" s="130">
        <v>225000.0</v>
      </c>
      <c r="G66" s="130">
        <v>450000.0</v>
      </c>
      <c r="H66" s="130">
        <v>450000.0</v>
      </c>
      <c r="I66" s="130">
        <v>450000.0</v>
      </c>
      <c r="J66" s="130">
        <v>450000.0</v>
      </c>
      <c r="K66" s="130">
        <v>450000.0</v>
      </c>
      <c r="L66" s="130">
        <v>450000.0</v>
      </c>
      <c r="M66" s="133"/>
      <c r="N66" s="131"/>
      <c r="O66" s="131"/>
      <c r="U66" s="154"/>
      <c r="Y66" s="72"/>
      <c r="AL66" s="144"/>
      <c r="AM66" s="144"/>
      <c r="AN66" s="144"/>
      <c r="AO66" s="144"/>
      <c r="AP66" s="144"/>
      <c r="AQ66" s="144"/>
      <c r="AR66" s="144"/>
      <c r="AS66" s="144"/>
    </row>
    <row r="67" ht="22.5" customHeight="1">
      <c r="A67" s="132" t="s">
        <v>474</v>
      </c>
      <c r="B67" s="130">
        <v>310000.0</v>
      </c>
      <c r="C67" s="130">
        <v>310000.0</v>
      </c>
      <c r="D67" s="130">
        <v>310000.0</v>
      </c>
      <c r="E67" s="130">
        <v>310000.0</v>
      </c>
      <c r="F67" s="130">
        <v>310000.0</v>
      </c>
      <c r="G67" s="130">
        <v>310000.0</v>
      </c>
      <c r="H67" s="130">
        <v>310000.0</v>
      </c>
      <c r="I67" s="130">
        <v>310000.0</v>
      </c>
      <c r="J67" s="133"/>
      <c r="K67" s="133"/>
      <c r="L67" s="130">
        <v>310000.0</v>
      </c>
      <c r="M67" s="130">
        <v>310000.0</v>
      </c>
      <c r="N67" s="155"/>
      <c r="O67" s="131"/>
      <c r="T67" s="17" t="s">
        <v>475</v>
      </c>
      <c r="U67" s="154">
        <v>2340000.0</v>
      </c>
      <c r="X67" s="17" t="s">
        <v>476</v>
      </c>
      <c r="Y67" s="45">
        <v>2340000.0</v>
      </c>
      <c r="AD67" s="45"/>
      <c r="AL67" s="144"/>
      <c r="AM67" s="144"/>
      <c r="AN67" s="144"/>
      <c r="AO67" s="144"/>
      <c r="AP67" s="144"/>
      <c r="AQ67" s="144"/>
      <c r="AR67" s="144"/>
      <c r="AS67" s="144"/>
    </row>
    <row r="68" ht="22.5" customHeight="1">
      <c r="A68" s="156" t="s">
        <v>219</v>
      </c>
      <c r="B68" s="157">
        <v>420000.0</v>
      </c>
      <c r="C68" s="158">
        <v>420000.0</v>
      </c>
      <c r="D68" s="158">
        <v>420000.0</v>
      </c>
      <c r="E68" s="158">
        <v>420000.0</v>
      </c>
      <c r="F68" s="158">
        <v>420000.0</v>
      </c>
      <c r="G68" s="158">
        <v>420000.0</v>
      </c>
      <c r="H68" s="158">
        <v>420000.0</v>
      </c>
      <c r="I68" s="158">
        <v>420000.0</v>
      </c>
      <c r="J68" s="158">
        <v>420000.0</v>
      </c>
      <c r="K68" s="158">
        <v>420000.0</v>
      </c>
      <c r="L68" s="158">
        <v>420000.0</v>
      </c>
      <c r="M68" s="158">
        <v>420000.0</v>
      </c>
      <c r="N68" s="159"/>
      <c r="O68" s="159"/>
      <c r="T68" s="17" t="s">
        <v>477</v>
      </c>
      <c r="U68" s="154">
        <f>U67/24</f>
        <v>97500</v>
      </c>
      <c r="X68" s="17" t="s">
        <v>478</v>
      </c>
      <c r="Y68" s="45">
        <f>Y67/20</f>
        <v>117000</v>
      </c>
      <c r="AD68" s="45"/>
      <c r="AL68" s="144"/>
      <c r="AM68" s="144"/>
      <c r="AN68" s="144"/>
      <c r="AO68" s="144"/>
      <c r="AP68" s="144"/>
      <c r="AQ68" s="144"/>
      <c r="AR68" s="144"/>
      <c r="AS68" s="144"/>
    </row>
    <row r="69" ht="22.5" customHeight="1">
      <c r="A69" s="135" t="s">
        <v>220</v>
      </c>
      <c r="B69" s="157">
        <v>420000.0</v>
      </c>
      <c r="C69" s="158">
        <v>312000.0</v>
      </c>
      <c r="D69" s="158">
        <v>420000.0</v>
      </c>
      <c r="E69" s="158">
        <v>420000.0</v>
      </c>
      <c r="F69" s="158">
        <v>420000.0</v>
      </c>
      <c r="G69" s="158">
        <v>320000.0</v>
      </c>
      <c r="H69" s="158">
        <v>320000.0</v>
      </c>
      <c r="I69" s="158">
        <v>320000.0</v>
      </c>
      <c r="J69" s="158">
        <v>320000.0</v>
      </c>
      <c r="K69" s="158">
        <v>320000.0</v>
      </c>
      <c r="L69" s="133"/>
      <c r="M69" s="133"/>
      <c r="N69" s="159"/>
      <c r="O69" s="159"/>
      <c r="AL69" s="144"/>
      <c r="AM69" s="144"/>
      <c r="AN69" s="144"/>
      <c r="AO69" s="144"/>
      <c r="AP69" s="144"/>
      <c r="AQ69" s="144"/>
      <c r="AR69" s="144"/>
      <c r="AS69" s="144"/>
    </row>
    <row r="70" ht="22.5" customHeight="1">
      <c r="A70" s="135" t="s">
        <v>479</v>
      </c>
      <c r="B70" s="160"/>
      <c r="C70" s="133"/>
      <c r="D70" s="133"/>
      <c r="E70" s="133"/>
      <c r="F70" s="133"/>
      <c r="G70" s="133"/>
      <c r="H70" s="133"/>
      <c r="I70" s="158">
        <v>450000.0</v>
      </c>
      <c r="J70" s="133"/>
      <c r="K70" s="133"/>
      <c r="L70" s="133"/>
      <c r="M70" s="133"/>
      <c r="N70" s="136"/>
      <c r="O70" s="136"/>
      <c r="AL70" s="144"/>
      <c r="AM70" s="144"/>
      <c r="AN70" s="144"/>
      <c r="AO70" s="144"/>
      <c r="AP70" s="144"/>
      <c r="AQ70" s="144"/>
      <c r="AR70" s="144"/>
      <c r="AS70" s="144"/>
    </row>
    <row r="71" ht="22.5" customHeight="1">
      <c r="A71" s="161" t="s">
        <v>221</v>
      </c>
      <c r="B71" s="157">
        <v>472000.0</v>
      </c>
      <c r="C71" s="158">
        <v>468000.0</v>
      </c>
      <c r="D71" s="158">
        <v>468000.0</v>
      </c>
      <c r="E71" s="158">
        <v>456000.0</v>
      </c>
      <c r="F71" s="158">
        <v>468000.0</v>
      </c>
      <c r="G71" s="158">
        <v>456000.0</v>
      </c>
      <c r="H71" s="158">
        <v>480000.0</v>
      </c>
      <c r="I71" s="158">
        <v>480000.0</v>
      </c>
      <c r="J71" s="158">
        <v>480000.0</v>
      </c>
      <c r="K71" s="158">
        <v>480000.0</v>
      </c>
      <c r="L71" s="158">
        <v>480000.0</v>
      </c>
      <c r="M71" s="158">
        <v>480000.0</v>
      </c>
      <c r="N71" s="159"/>
      <c r="O71" s="159"/>
      <c r="P71" s="113" t="s">
        <v>480</v>
      </c>
      <c r="Q71" s="114"/>
      <c r="R71" s="114"/>
      <c r="S71" s="114"/>
      <c r="T71" s="112"/>
      <c r="U71" s="67" t="s">
        <v>481</v>
      </c>
      <c r="V71" s="112"/>
      <c r="W71" s="112"/>
      <c r="X71" s="31" t="s">
        <v>482</v>
      </c>
      <c r="Y71" s="117"/>
      <c r="Z71" s="117"/>
      <c r="AA71" s="117"/>
      <c r="AL71" s="144"/>
      <c r="AM71" s="144"/>
      <c r="AN71" s="144"/>
      <c r="AO71" s="144"/>
      <c r="AP71" s="144"/>
      <c r="AQ71" s="144"/>
      <c r="AR71" s="144"/>
      <c r="AS71" s="144"/>
    </row>
    <row r="72" ht="22.5" customHeight="1">
      <c r="A72" s="135" t="s">
        <v>137</v>
      </c>
      <c r="B72" s="157">
        <v>472000.0</v>
      </c>
      <c r="C72" s="158">
        <v>468000.0</v>
      </c>
      <c r="D72" s="158">
        <v>468000.0</v>
      </c>
      <c r="E72" s="133"/>
      <c r="F72" s="133"/>
      <c r="G72" s="133"/>
      <c r="H72" s="133"/>
      <c r="I72" s="133"/>
      <c r="J72" s="133"/>
      <c r="K72" s="133"/>
      <c r="L72" s="133"/>
      <c r="M72" s="133"/>
      <c r="N72" s="136"/>
      <c r="O72" s="136"/>
      <c r="P72" s="114"/>
      <c r="Q72" s="114"/>
      <c r="R72" s="114"/>
      <c r="S72" s="114"/>
      <c r="T72" s="67" t="s">
        <v>483</v>
      </c>
      <c r="U72" s="110">
        <v>45532.0</v>
      </c>
      <c r="V72" s="111">
        <v>320000.0</v>
      </c>
      <c r="W72" s="112"/>
      <c r="X72" s="117"/>
      <c r="Y72" s="117"/>
      <c r="Z72" s="117"/>
      <c r="AA72" s="117"/>
      <c r="AL72" s="144"/>
      <c r="AM72" s="144"/>
      <c r="AN72" s="144"/>
      <c r="AO72" s="144"/>
      <c r="AP72" s="144"/>
      <c r="AQ72" s="144"/>
      <c r="AR72" s="144"/>
      <c r="AS72" s="144"/>
    </row>
    <row r="73" ht="22.5" customHeight="1">
      <c r="A73" s="135" t="s">
        <v>223</v>
      </c>
      <c r="B73" s="157">
        <v>1230000.0</v>
      </c>
      <c r="C73" s="158">
        <v>0.0</v>
      </c>
      <c r="D73" s="158">
        <v>0.0</v>
      </c>
      <c r="E73" s="158">
        <v>430000.0</v>
      </c>
      <c r="F73" s="133"/>
      <c r="G73" s="133"/>
      <c r="H73" s="133"/>
      <c r="I73" s="133"/>
      <c r="J73" s="133"/>
      <c r="K73" s="133"/>
      <c r="L73" s="133"/>
      <c r="M73" s="133"/>
      <c r="N73" s="136"/>
      <c r="O73" s="136"/>
      <c r="P73" s="113" t="s">
        <v>310</v>
      </c>
      <c r="Q73" s="119">
        <v>45499.0</v>
      </c>
      <c r="R73" s="120">
        <v>320000.0</v>
      </c>
      <c r="S73" s="114"/>
      <c r="T73" s="67" t="s">
        <v>309</v>
      </c>
      <c r="U73" s="110">
        <v>45534.0</v>
      </c>
      <c r="V73" s="111">
        <v>250000.0</v>
      </c>
      <c r="W73" s="112"/>
      <c r="X73" s="31" t="s">
        <v>310</v>
      </c>
      <c r="Y73" s="125">
        <v>45558.0</v>
      </c>
      <c r="Z73" s="126">
        <v>320000.0</v>
      </c>
      <c r="AA73" s="117"/>
      <c r="AL73" s="144"/>
      <c r="AM73" s="144"/>
      <c r="AN73" s="144"/>
      <c r="AO73" s="144"/>
      <c r="AP73" s="144"/>
      <c r="AQ73" s="144"/>
      <c r="AR73" s="144"/>
      <c r="AS73" s="144"/>
    </row>
    <row r="74" ht="22.5" customHeight="1">
      <c r="A74" s="135" t="s">
        <v>77</v>
      </c>
      <c r="B74" s="158">
        <v>420000.0</v>
      </c>
      <c r="C74" s="157">
        <v>420000.0</v>
      </c>
      <c r="D74" s="160"/>
      <c r="E74" s="133"/>
      <c r="F74" s="133"/>
      <c r="G74" s="133"/>
      <c r="H74" s="133"/>
      <c r="I74" s="133"/>
      <c r="J74" s="133"/>
      <c r="K74" s="133"/>
      <c r="L74" s="133"/>
      <c r="M74" s="133"/>
      <c r="N74" s="136"/>
      <c r="O74" s="136"/>
      <c r="P74" s="113" t="s">
        <v>309</v>
      </c>
      <c r="Q74" s="113">
        <v>31707.0</v>
      </c>
      <c r="R74" s="120">
        <v>250000.0</v>
      </c>
      <c r="S74" s="114"/>
      <c r="T74" s="67" t="s">
        <v>289</v>
      </c>
      <c r="U74" s="110">
        <v>45534.0</v>
      </c>
      <c r="V74" s="111">
        <v>250000.0</v>
      </c>
      <c r="W74" s="112"/>
      <c r="X74" s="31" t="s">
        <v>283</v>
      </c>
      <c r="Y74" s="125">
        <v>45559.0</v>
      </c>
      <c r="Z74" s="126">
        <v>300000.0</v>
      </c>
      <c r="AA74" s="117"/>
      <c r="AB74" s="45"/>
      <c r="AL74" s="144"/>
      <c r="AM74" s="144"/>
      <c r="AN74" s="144"/>
      <c r="AO74" s="144"/>
      <c r="AP74" s="144"/>
      <c r="AQ74" s="144"/>
      <c r="AR74" s="144"/>
      <c r="AS74" s="144"/>
    </row>
    <row r="75" ht="22.5" customHeight="1">
      <c r="A75" s="135" t="s">
        <v>224</v>
      </c>
      <c r="B75" s="158">
        <v>310000.0</v>
      </c>
      <c r="C75" s="160"/>
      <c r="D75" s="160"/>
      <c r="E75" s="133"/>
      <c r="F75" s="133"/>
      <c r="G75" s="133"/>
      <c r="H75" s="133"/>
      <c r="I75" s="133"/>
      <c r="J75" s="133"/>
      <c r="K75" s="133"/>
      <c r="L75" s="133"/>
      <c r="M75" s="133"/>
      <c r="N75" s="136"/>
      <c r="O75" s="136"/>
      <c r="P75" s="113" t="s">
        <v>283</v>
      </c>
      <c r="Q75" s="119">
        <v>45504.0</v>
      </c>
      <c r="R75" s="120">
        <v>300000.0</v>
      </c>
      <c r="S75" s="114"/>
      <c r="T75" s="67" t="s">
        <v>351</v>
      </c>
      <c r="U75" s="110">
        <v>45536.0</v>
      </c>
      <c r="V75" s="111">
        <v>310000.0</v>
      </c>
      <c r="W75" s="112"/>
      <c r="X75" s="31" t="s">
        <v>359</v>
      </c>
      <c r="Y75" s="125">
        <v>45559.0</v>
      </c>
      <c r="Z75" s="126">
        <v>250000.0</v>
      </c>
      <c r="AA75" s="31" t="s">
        <v>484</v>
      </c>
      <c r="AB75" s="72"/>
      <c r="AL75" s="144"/>
      <c r="AM75" s="144"/>
      <c r="AN75" s="144"/>
      <c r="AO75" s="144"/>
      <c r="AP75" s="144"/>
      <c r="AQ75" s="144"/>
      <c r="AR75" s="144"/>
      <c r="AS75" s="144"/>
    </row>
    <row r="76" ht="22.5" customHeight="1">
      <c r="A76" s="156" t="s">
        <v>147</v>
      </c>
      <c r="B76" s="158">
        <v>420000.0</v>
      </c>
      <c r="C76" s="157">
        <v>420000.0</v>
      </c>
      <c r="D76" s="157">
        <v>420000.0</v>
      </c>
      <c r="E76" s="158">
        <v>420000.0</v>
      </c>
      <c r="F76" s="158">
        <v>420000.0</v>
      </c>
      <c r="G76" s="158">
        <v>420000.0</v>
      </c>
      <c r="H76" s="158">
        <v>420000.0</v>
      </c>
      <c r="I76" s="158">
        <v>420000.0</v>
      </c>
      <c r="J76" s="158">
        <v>420000.0</v>
      </c>
      <c r="K76" s="158">
        <v>420000.0</v>
      </c>
      <c r="L76" s="158">
        <v>420000.0</v>
      </c>
      <c r="M76" s="158">
        <v>420000.0</v>
      </c>
      <c r="N76" s="159"/>
      <c r="O76" s="159"/>
      <c r="P76" s="113" t="s">
        <v>485</v>
      </c>
      <c r="Q76" s="119">
        <v>45504.0</v>
      </c>
      <c r="R76" s="120">
        <v>320000.0</v>
      </c>
      <c r="S76" s="114"/>
      <c r="T76" s="67" t="s">
        <v>486</v>
      </c>
      <c r="U76" s="110">
        <v>45537.0</v>
      </c>
      <c r="V76" s="111">
        <v>320000.0</v>
      </c>
      <c r="W76" s="112"/>
      <c r="X76" s="31" t="s">
        <v>289</v>
      </c>
      <c r="Y76" s="125">
        <v>45565.0</v>
      </c>
      <c r="Z76" s="126">
        <v>250000.0</v>
      </c>
      <c r="AA76" s="117"/>
      <c r="AB76" s="72"/>
      <c r="AL76" s="144"/>
      <c r="AM76" s="144"/>
      <c r="AN76" s="144"/>
      <c r="AO76" s="144"/>
      <c r="AP76" s="144"/>
      <c r="AQ76" s="144"/>
      <c r="AR76" s="144"/>
      <c r="AS76" s="144"/>
    </row>
    <row r="77" ht="22.5" customHeight="1">
      <c r="A77" s="156" t="s">
        <v>487</v>
      </c>
      <c r="B77" s="133"/>
      <c r="C77" s="160"/>
      <c r="D77" s="160"/>
      <c r="E77" s="133"/>
      <c r="F77" s="133"/>
      <c r="G77" s="133"/>
      <c r="H77" s="133"/>
      <c r="I77" s="133"/>
      <c r="J77" s="158">
        <v>450000.0</v>
      </c>
      <c r="K77" s="158">
        <v>450000.0</v>
      </c>
      <c r="L77" s="158">
        <v>450000.0</v>
      </c>
      <c r="M77" s="158">
        <v>450000.0</v>
      </c>
      <c r="N77" s="159"/>
      <c r="O77" s="159"/>
      <c r="P77" s="113" t="s">
        <v>295</v>
      </c>
      <c r="Q77" s="119">
        <v>45504.0</v>
      </c>
      <c r="R77" s="120">
        <v>250000.0</v>
      </c>
      <c r="S77" s="114"/>
      <c r="T77" s="67" t="s">
        <v>485</v>
      </c>
      <c r="U77" s="110">
        <v>45537.0</v>
      </c>
      <c r="V77" s="111">
        <v>320000.0</v>
      </c>
      <c r="W77" s="112"/>
      <c r="X77" s="31" t="s">
        <v>488</v>
      </c>
      <c r="Y77" s="125">
        <v>45565.0</v>
      </c>
      <c r="Z77" s="126">
        <v>250000.0</v>
      </c>
      <c r="AA77" s="117"/>
      <c r="AB77" s="72"/>
      <c r="AL77" s="144"/>
      <c r="AM77" s="144"/>
      <c r="AN77" s="144"/>
      <c r="AO77" s="144"/>
      <c r="AP77" s="144"/>
      <c r="AQ77" s="144"/>
      <c r="AR77" s="144"/>
      <c r="AS77" s="144"/>
    </row>
    <row r="78" ht="22.5" customHeight="1">
      <c r="A78" s="135" t="s">
        <v>89</v>
      </c>
      <c r="B78" s="158">
        <v>472000.0</v>
      </c>
      <c r="C78" s="157">
        <v>468000.0</v>
      </c>
      <c r="D78" s="157">
        <v>468000.0</v>
      </c>
      <c r="E78" s="158">
        <v>456000.0</v>
      </c>
      <c r="F78" s="158">
        <v>468000.0</v>
      </c>
      <c r="G78" s="158">
        <v>456000.0</v>
      </c>
      <c r="H78" s="158">
        <v>480000.0</v>
      </c>
      <c r="I78" s="158">
        <v>480000.0</v>
      </c>
      <c r="J78" s="158">
        <v>480000.0</v>
      </c>
      <c r="K78" s="133"/>
      <c r="L78" s="133"/>
      <c r="M78" s="133"/>
      <c r="N78" s="136"/>
      <c r="O78" s="136"/>
      <c r="P78" s="113" t="s">
        <v>318</v>
      </c>
      <c r="Q78" s="119">
        <v>45505.0</v>
      </c>
      <c r="R78" s="120">
        <v>250000.0</v>
      </c>
      <c r="S78" s="114"/>
      <c r="T78" s="67" t="s">
        <v>489</v>
      </c>
      <c r="U78" s="110">
        <v>45537.0</v>
      </c>
      <c r="V78" s="111">
        <v>300000.0</v>
      </c>
      <c r="W78" s="112"/>
      <c r="X78" s="31" t="s">
        <v>318</v>
      </c>
      <c r="Y78" s="125">
        <v>45565.0</v>
      </c>
      <c r="Z78" s="126">
        <v>250000.0</v>
      </c>
      <c r="AA78" s="117"/>
      <c r="AB78" s="72"/>
      <c r="AL78" s="144"/>
      <c r="AM78" s="144"/>
      <c r="AN78" s="144"/>
      <c r="AO78" s="144"/>
      <c r="AP78" s="144"/>
      <c r="AQ78" s="144"/>
      <c r="AR78" s="144"/>
      <c r="AS78" s="144"/>
    </row>
    <row r="79" ht="22.5" customHeight="1">
      <c r="A79" s="156" t="s">
        <v>490</v>
      </c>
      <c r="B79" s="133"/>
      <c r="C79" s="160"/>
      <c r="D79" s="160"/>
      <c r="E79" s="133"/>
      <c r="F79" s="133"/>
      <c r="G79" s="133"/>
      <c r="H79" s="158">
        <v>225000.0</v>
      </c>
      <c r="I79" s="158">
        <v>450000.0</v>
      </c>
      <c r="J79" s="158">
        <v>450000.0</v>
      </c>
      <c r="K79" s="158">
        <v>450000.0</v>
      </c>
      <c r="L79" s="158">
        <v>450000.0</v>
      </c>
      <c r="M79" s="158">
        <v>450000.0</v>
      </c>
      <c r="N79" s="159"/>
      <c r="O79" s="159"/>
      <c r="P79" s="113" t="s">
        <v>281</v>
      </c>
      <c r="Q79" s="119">
        <v>45505.0</v>
      </c>
      <c r="R79" s="120">
        <v>250000.0</v>
      </c>
      <c r="S79" s="114"/>
      <c r="T79" s="67" t="s">
        <v>491</v>
      </c>
      <c r="U79" s="110">
        <v>45538.0</v>
      </c>
      <c r="V79" s="111">
        <v>300000.0</v>
      </c>
      <c r="W79" s="112"/>
      <c r="X79" s="31" t="s">
        <v>492</v>
      </c>
      <c r="Y79" s="125">
        <v>45565.0</v>
      </c>
      <c r="Z79" s="126">
        <v>450000.0</v>
      </c>
      <c r="AA79" s="117"/>
      <c r="AB79" s="72"/>
      <c r="AL79" s="144"/>
      <c r="AM79" s="144"/>
      <c r="AN79" s="144"/>
      <c r="AO79" s="144"/>
      <c r="AP79" s="144"/>
      <c r="AQ79" s="144"/>
      <c r="AR79" s="144"/>
      <c r="AS79" s="144"/>
    </row>
    <row r="80" ht="22.5" customHeight="1">
      <c r="A80" s="135" t="s">
        <v>49</v>
      </c>
      <c r="B80" s="158">
        <v>420000.0</v>
      </c>
      <c r="C80" s="158">
        <v>420000.0</v>
      </c>
      <c r="D80" s="158">
        <v>420000.0</v>
      </c>
      <c r="E80" s="158">
        <v>420000.0</v>
      </c>
      <c r="F80" s="158">
        <v>420000.0</v>
      </c>
      <c r="G80" s="158">
        <v>420000.0</v>
      </c>
      <c r="H80" s="158">
        <v>420000.0</v>
      </c>
      <c r="I80" s="158">
        <v>420000.0</v>
      </c>
      <c r="J80" s="133"/>
      <c r="K80" s="133"/>
      <c r="L80" s="133"/>
      <c r="M80" s="133"/>
      <c r="N80" s="136"/>
      <c r="O80" s="136"/>
      <c r="P80" s="113" t="s">
        <v>493</v>
      </c>
      <c r="Q80" s="119">
        <v>45505.0</v>
      </c>
      <c r="R80" s="120">
        <v>310000.0</v>
      </c>
      <c r="S80" s="114"/>
      <c r="T80" s="67" t="s">
        <v>494</v>
      </c>
      <c r="U80" s="110">
        <v>45538.0</v>
      </c>
      <c r="V80" s="111">
        <v>300000.0</v>
      </c>
      <c r="W80" s="112"/>
      <c r="X80" s="31" t="s">
        <v>333</v>
      </c>
      <c r="Y80" s="125">
        <v>45566.0</v>
      </c>
      <c r="Z80" s="126">
        <v>450000.0</v>
      </c>
      <c r="AA80" s="117"/>
      <c r="AB80" s="72"/>
      <c r="AL80" s="144"/>
      <c r="AM80" s="144"/>
      <c r="AN80" s="144"/>
      <c r="AO80" s="144"/>
      <c r="AP80" s="144"/>
      <c r="AQ80" s="144"/>
      <c r="AR80" s="144"/>
      <c r="AS80" s="144"/>
    </row>
    <row r="81" ht="22.5" customHeight="1">
      <c r="A81" s="161" t="s">
        <v>226</v>
      </c>
      <c r="B81" s="158">
        <v>4656000.0</v>
      </c>
      <c r="C81" s="158">
        <v>0.0</v>
      </c>
      <c r="D81" s="158">
        <v>0.0</v>
      </c>
      <c r="E81" s="158">
        <v>0.0</v>
      </c>
      <c r="F81" s="158">
        <v>0.0</v>
      </c>
      <c r="G81" s="158">
        <v>0.0</v>
      </c>
      <c r="H81" s="158">
        <v>0.0</v>
      </c>
      <c r="I81" s="158">
        <v>0.0</v>
      </c>
      <c r="J81" s="158">
        <v>0.0</v>
      </c>
      <c r="K81" s="158">
        <v>0.0</v>
      </c>
      <c r="L81" s="158">
        <v>0.0</v>
      </c>
      <c r="M81" s="158">
        <v>0.0</v>
      </c>
      <c r="N81" s="159"/>
      <c r="O81" s="159"/>
      <c r="P81" s="113" t="s">
        <v>317</v>
      </c>
      <c r="Q81" s="119">
        <v>45506.0</v>
      </c>
      <c r="R81" s="120">
        <v>420000.0</v>
      </c>
      <c r="S81" s="114"/>
      <c r="T81" s="67" t="s">
        <v>331</v>
      </c>
      <c r="U81" s="110">
        <v>45538.0</v>
      </c>
      <c r="V81" s="111">
        <v>380000.0</v>
      </c>
      <c r="W81" s="112"/>
      <c r="X81" s="31" t="s">
        <v>317</v>
      </c>
      <c r="Y81" s="125">
        <v>45566.0</v>
      </c>
      <c r="Z81" s="126">
        <v>420000.0</v>
      </c>
      <c r="AA81" s="117"/>
      <c r="AL81" s="144"/>
      <c r="AM81" s="144"/>
      <c r="AN81" s="144"/>
      <c r="AO81" s="144"/>
      <c r="AP81" s="144"/>
      <c r="AQ81" s="144"/>
      <c r="AR81" s="144"/>
      <c r="AS81" s="144"/>
    </row>
    <row r="82" ht="22.5" customHeight="1">
      <c r="A82" s="135" t="s">
        <v>495</v>
      </c>
      <c r="B82" s="158">
        <v>152000.0</v>
      </c>
      <c r="C82" s="158">
        <v>304000.0</v>
      </c>
      <c r="D82" s="158">
        <v>312000.0</v>
      </c>
      <c r="E82" s="158">
        <v>309000.0</v>
      </c>
      <c r="F82" s="158">
        <v>312000.0</v>
      </c>
      <c r="G82" s="158">
        <v>304000.0</v>
      </c>
      <c r="H82" s="158">
        <v>320000.0</v>
      </c>
      <c r="I82" s="158">
        <v>320000.0</v>
      </c>
      <c r="J82" s="158">
        <v>320000.0</v>
      </c>
      <c r="K82" s="133"/>
      <c r="L82" s="133"/>
      <c r="M82" s="133"/>
      <c r="N82" s="136"/>
      <c r="O82" s="136"/>
      <c r="P82" s="113" t="s">
        <v>331</v>
      </c>
      <c r="Q82" s="119">
        <v>45506.0</v>
      </c>
      <c r="R82" s="120">
        <v>380000.0</v>
      </c>
      <c r="S82" s="114"/>
      <c r="T82" s="67" t="s">
        <v>301</v>
      </c>
      <c r="U82" s="110">
        <v>45538.0</v>
      </c>
      <c r="V82" s="111">
        <v>250000.0</v>
      </c>
      <c r="W82" s="112"/>
      <c r="X82" s="31" t="s">
        <v>327</v>
      </c>
      <c r="Y82" s="125">
        <v>45566.0</v>
      </c>
      <c r="Z82" s="126">
        <v>250000.0</v>
      </c>
      <c r="AA82" s="117"/>
      <c r="AL82" s="144"/>
      <c r="AM82" s="144"/>
      <c r="AN82" s="144"/>
      <c r="AO82" s="144"/>
      <c r="AP82" s="144"/>
      <c r="AQ82" s="144"/>
      <c r="AR82" s="144"/>
      <c r="AS82" s="144"/>
    </row>
    <row r="83" ht="22.5" customHeight="1">
      <c r="A83" s="161" t="s">
        <v>214</v>
      </c>
      <c r="B83" s="162">
        <v>228000.0</v>
      </c>
      <c r="C83" s="158">
        <v>468000.0</v>
      </c>
      <c r="D83" s="158">
        <v>468000.0</v>
      </c>
      <c r="E83" s="158">
        <v>456000.0</v>
      </c>
      <c r="F83" s="158">
        <v>468000.0</v>
      </c>
      <c r="G83" s="158">
        <v>456000.0</v>
      </c>
      <c r="H83" s="158">
        <v>480000.0</v>
      </c>
      <c r="I83" s="158">
        <v>480000.0</v>
      </c>
      <c r="J83" s="158">
        <v>480000.0</v>
      </c>
      <c r="K83" s="158">
        <v>480000.0</v>
      </c>
      <c r="L83" s="158">
        <v>480000.0</v>
      </c>
      <c r="M83" s="158">
        <v>480000.0</v>
      </c>
      <c r="N83" s="159"/>
      <c r="O83" s="159"/>
      <c r="P83" s="113" t="s">
        <v>496</v>
      </c>
      <c r="Q83" s="119">
        <v>45506.0</v>
      </c>
      <c r="R83" s="120">
        <v>300000.0</v>
      </c>
      <c r="S83" s="114"/>
      <c r="T83" s="67" t="s">
        <v>497</v>
      </c>
      <c r="U83" s="110">
        <v>45538.0</v>
      </c>
      <c r="V83" s="111">
        <v>300000.0</v>
      </c>
      <c r="W83" s="112"/>
      <c r="X83" s="31" t="s">
        <v>304</v>
      </c>
      <c r="Y83" s="125">
        <v>45566.0</v>
      </c>
      <c r="Z83" s="126">
        <v>420000.0</v>
      </c>
      <c r="AA83" s="117"/>
      <c r="AL83" s="144"/>
      <c r="AM83" s="144"/>
      <c r="AN83" s="144"/>
      <c r="AO83" s="144"/>
      <c r="AP83" s="144"/>
      <c r="AQ83" s="144"/>
      <c r="AR83" s="144"/>
      <c r="AS83" s="144"/>
    </row>
    <row r="84" ht="22.5" customHeight="1">
      <c r="A84" s="134" t="s">
        <v>498</v>
      </c>
      <c r="B84" s="133"/>
      <c r="C84" s="140">
        <v>450000.0</v>
      </c>
      <c r="D84" s="140">
        <v>450000.0</v>
      </c>
      <c r="E84" s="140">
        <v>450000.0</v>
      </c>
      <c r="F84" s="140">
        <v>450000.0</v>
      </c>
      <c r="G84" s="140">
        <v>450000.0</v>
      </c>
      <c r="H84" s="140">
        <v>450000.0</v>
      </c>
      <c r="I84" s="140">
        <v>450000.0</v>
      </c>
      <c r="J84" s="158">
        <v>450000.0</v>
      </c>
      <c r="K84" s="158">
        <v>450000.0</v>
      </c>
      <c r="L84" s="158">
        <v>450000.0</v>
      </c>
      <c r="M84" s="158">
        <v>450000.0</v>
      </c>
      <c r="N84" s="159"/>
      <c r="O84" s="159"/>
      <c r="P84" s="113" t="s">
        <v>499</v>
      </c>
      <c r="Q84" s="119">
        <v>45507.0</v>
      </c>
      <c r="R84" s="120">
        <v>320000.0</v>
      </c>
      <c r="S84" s="114"/>
      <c r="T84" s="67" t="s">
        <v>306</v>
      </c>
      <c r="U84" s="110">
        <v>45539.0</v>
      </c>
      <c r="V84" s="111">
        <v>420000.0</v>
      </c>
      <c r="W84" s="112"/>
      <c r="X84" s="31" t="s">
        <v>305</v>
      </c>
      <c r="Y84" s="125">
        <v>45566.0</v>
      </c>
      <c r="Z84" s="126">
        <v>380000.0</v>
      </c>
      <c r="AA84" s="117"/>
      <c r="AL84" s="144"/>
      <c r="AM84" s="144"/>
      <c r="AN84" s="144"/>
      <c r="AO84" s="144"/>
      <c r="AP84" s="144"/>
      <c r="AQ84" s="144"/>
      <c r="AR84" s="144"/>
      <c r="AS84" s="144"/>
    </row>
    <row r="85" ht="22.5" customHeight="1">
      <c r="A85" s="135" t="s">
        <v>72</v>
      </c>
      <c r="B85" s="133"/>
      <c r="C85" s="158">
        <v>420000.0</v>
      </c>
      <c r="D85" s="158">
        <v>420000.0</v>
      </c>
      <c r="E85" s="158">
        <v>420000.0</v>
      </c>
      <c r="F85" s="158">
        <v>420000.0</v>
      </c>
      <c r="G85" s="158">
        <v>420000.0</v>
      </c>
      <c r="H85" s="158">
        <v>420000.0</v>
      </c>
      <c r="I85" s="133"/>
      <c r="J85" s="133"/>
      <c r="K85" s="133"/>
      <c r="L85" s="133"/>
      <c r="M85" s="133"/>
      <c r="N85" s="136"/>
      <c r="O85" s="136"/>
      <c r="P85" s="113" t="s">
        <v>297</v>
      </c>
      <c r="Q85" s="119">
        <v>45508.0</v>
      </c>
      <c r="R85" s="120">
        <v>250000.0</v>
      </c>
      <c r="S85" s="114"/>
      <c r="T85" s="67" t="s">
        <v>500</v>
      </c>
      <c r="U85" s="110">
        <v>45539.0</v>
      </c>
      <c r="V85" s="111">
        <v>420000.0</v>
      </c>
      <c r="W85" s="112"/>
      <c r="X85" s="31" t="s">
        <v>314</v>
      </c>
      <c r="Y85" s="125">
        <v>45566.0</v>
      </c>
      <c r="Z85" s="126">
        <v>320000.0</v>
      </c>
      <c r="AA85" s="117"/>
      <c r="AL85" s="144"/>
      <c r="AM85" s="144"/>
      <c r="AN85" s="144"/>
      <c r="AO85" s="144"/>
      <c r="AP85" s="144"/>
      <c r="AQ85" s="144"/>
      <c r="AR85" s="144"/>
      <c r="AS85" s="144"/>
    </row>
    <row r="86" ht="22.5" customHeight="1">
      <c r="A86" s="135" t="s">
        <v>140</v>
      </c>
      <c r="B86" s="157">
        <v>310000.0</v>
      </c>
      <c r="C86" s="158">
        <v>310000.0</v>
      </c>
      <c r="D86" s="158">
        <v>310000.0</v>
      </c>
      <c r="E86" s="158">
        <v>310000.0</v>
      </c>
      <c r="F86" s="158">
        <v>310000.0</v>
      </c>
      <c r="G86" s="133"/>
      <c r="H86" s="133"/>
      <c r="I86" s="133"/>
      <c r="J86" s="133"/>
      <c r="K86" s="133"/>
      <c r="L86" s="133"/>
      <c r="M86" s="133"/>
      <c r="N86" s="136"/>
      <c r="O86" s="136"/>
      <c r="P86" s="113" t="s">
        <v>501</v>
      </c>
      <c r="Q86" s="119">
        <v>45508.0</v>
      </c>
      <c r="R86" s="120">
        <v>320000.0</v>
      </c>
      <c r="S86" s="114"/>
      <c r="T86" s="67" t="s">
        <v>499</v>
      </c>
      <c r="U86" s="110">
        <v>45540.0</v>
      </c>
      <c r="V86" s="111">
        <v>320000.0</v>
      </c>
      <c r="W86" s="112"/>
      <c r="X86" s="31" t="s">
        <v>502</v>
      </c>
      <c r="Y86" s="125">
        <v>45566.0</v>
      </c>
      <c r="Z86" s="126">
        <v>320000.0</v>
      </c>
      <c r="AA86" s="117"/>
      <c r="AL86" s="144"/>
      <c r="AM86" s="144"/>
      <c r="AN86" s="144"/>
      <c r="AO86" s="144"/>
      <c r="AP86" s="144"/>
      <c r="AQ86" s="144"/>
      <c r="AR86" s="144"/>
      <c r="AS86" s="144"/>
    </row>
    <row r="87" ht="22.5" customHeight="1">
      <c r="A87" s="156" t="s">
        <v>229</v>
      </c>
      <c r="B87" s="157">
        <v>900000.0</v>
      </c>
      <c r="C87" s="158">
        <v>0.0</v>
      </c>
      <c r="D87" s="158">
        <v>0.0</v>
      </c>
      <c r="E87" s="158">
        <v>900000.0</v>
      </c>
      <c r="F87" s="158">
        <v>0.0</v>
      </c>
      <c r="G87" s="158">
        <v>0.0</v>
      </c>
      <c r="H87" s="158">
        <v>900000.0</v>
      </c>
      <c r="I87" s="158">
        <v>0.0</v>
      </c>
      <c r="J87" s="158">
        <v>0.0</v>
      </c>
      <c r="K87" s="158">
        <v>900000.0</v>
      </c>
      <c r="L87" s="163">
        <v>0.0</v>
      </c>
      <c r="M87" s="158">
        <v>0.0</v>
      </c>
      <c r="N87" s="159"/>
      <c r="O87" s="159"/>
      <c r="P87" s="113" t="s">
        <v>347</v>
      </c>
      <c r="Q87" s="119">
        <v>45508.0</v>
      </c>
      <c r="R87" s="120">
        <v>250000.0</v>
      </c>
      <c r="S87" s="114"/>
      <c r="T87" s="67" t="s">
        <v>328</v>
      </c>
      <c r="U87" s="110">
        <v>45540.0</v>
      </c>
      <c r="V87" s="111">
        <v>310000.0</v>
      </c>
      <c r="W87" s="112"/>
      <c r="X87" s="31" t="s">
        <v>295</v>
      </c>
      <c r="Y87" s="125">
        <v>45567.0</v>
      </c>
      <c r="Z87" s="126">
        <v>250000.0</v>
      </c>
      <c r="AA87" s="117"/>
      <c r="AL87" s="144"/>
      <c r="AM87" s="144"/>
      <c r="AN87" s="144"/>
      <c r="AO87" s="144"/>
      <c r="AP87" s="144"/>
      <c r="AQ87" s="144"/>
      <c r="AR87" s="144"/>
      <c r="AS87" s="144"/>
    </row>
    <row r="88" ht="22.5" customHeight="1">
      <c r="A88" s="135" t="s">
        <v>230</v>
      </c>
      <c r="B88" s="157">
        <v>420000.0</v>
      </c>
      <c r="C88" s="158">
        <v>420000.0</v>
      </c>
      <c r="D88" s="157">
        <v>420000.0</v>
      </c>
      <c r="E88" s="158">
        <v>420000.0</v>
      </c>
      <c r="F88" s="158">
        <v>840000.0</v>
      </c>
      <c r="G88" s="158">
        <v>0.0</v>
      </c>
      <c r="H88" s="158">
        <v>840000.0</v>
      </c>
      <c r="I88" s="158">
        <v>0.0</v>
      </c>
      <c r="J88" s="158">
        <v>840000.0</v>
      </c>
      <c r="K88" s="158">
        <v>0.0</v>
      </c>
      <c r="L88" s="163">
        <v>420000.0</v>
      </c>
      <c r="M88" s="133"/>
      <c r="N88" s="159"/>
      <c r="O88" s="159"/>
      <c r="P88" s="113" t="s">
        <v>376</v>
      </c>
      <c r="Q88" s="119">
        <v>45509.0</v>
      </c>
      <c r="R88" s="120">
        <v>250000.0</v>
      </c>
      <c r="S88" s="114"/>
      <c r="T88" s="67" t="s">
        <v>361</v>
      </c>
      <c r="U88" s="110">
        <v>45540.0</v>
      </c>
      <c r="V88" s="111">
        <v>300000.0</v>
      </c>
      <c r="W88" s="112"/>
      <c r="X88" s="31" t="s">
        <v>284</v>
      </c>
      <c r="Y88" s="125">
        <v>45569.0</v>
      </c>
      <c r="Z88" s="126">
        <v>320000.0</v>
      </c>
      <c r="AA88" s="117"/>
      <c r="AL88" s="144"/>
      <c r="AM88" s="144"/>
      <c r="AN88" s="144"/>
      <c r="AO88" s="144"/>
      <c r="AP88" s="144"/>
      <c r="AQ88" s="144"/>
      <c r="AR88" s="144"/>
      <c r="AS88" s="144"/>
    </row>
    <row r="89" ht="22.5" customHeight="1">
      <c r="A89" s="161" t="s">
        <v>503</v>
      </c>
      <c r="B89" s="160"/>
      <c r="C89" s="133"/>
      <c r="D89" s="160"/>
      <c r="E89" s="133"/>
      <c r="F89" s="133"/>
      <c r="G89" s="133"/>
      <c r="H89" s="133"/>
      <c r="I89" s="133"/>
      <c r="J89" s="133"/>
      <c r="K89" s="133"/>
      <c r="L89" s="164"/>
      <c r="M89" s="158">
        <v>400000.0</v>
      </c>
      <c r="N89" s="159"/>
      <c r="O89" s="159"/>
      <c r="P89" s="113"/>
      <c r="Q89" s="119"/>
      <c r="R89" s="120"/>
      <c r="S89" s="114"/>
      <c r="T89" s="67"/>
      <c r="U89" s="110"/>
      <c r="V89" s="111"/>
      <c r="W89" s="112"/>
      <c r="X89" s="31"/>
      <c r="Y89" s="125"/>
      <c r="Z89" s="126"/>
      <c r="AA89" s="117"/>
      <c r="AL89" s="144"/>
      <c r="AM89" s="144"/>
      <c r="AN89" s="144"/>
      <c r="AO89" s="144"/>
      <c r="AP89" s="144"/>
      <c r="AQ89" s="144"/>
      <c r="AR89" s="144"/>
      <c r="AS89" s="144"/>
    </row>
    <row r="90" ht="22.5" customHeight="1">
      <c r="A90" s="135" t="s">
        <v>504</v>
      </c>
      <c r="B90" s="160"/>
      <c r="C90" s="133"/>
      <c r="D90" s="160"/>
      <c r="E90" s="133"/>
      <c r="F90" s="133"/>
      <c r="G90" s="133"/>
      <c r="H90" s="133"/>
      <c r="I90" s="133"/>
      <c r="J90" s="158">
        <v>299000.0</v>
      </c>
      <c r="K90" s="158">
        <v>450000.0</v>
      </c>
      <c r="L90" s="163">
        <v>450000.0</v>
      </c>
      <c r="M90" s="133"/>
      <c r="N90" s="159"/>
      <c r="O90" s="159"/>
      <c r="P90" s="113"/>
      <c r="Q90" s="119"/>
      <c r="R90" s="120"/>
      <c r="S90" s="114"/>
      <c r="T90" s="67" t="s">
        <v>342</v>
      </c>
      <c r="U90" s="110">
        <v>45540.0</v>
      </c>
      <c r="V90" s="111">
        <v>250000.0</v>
      </c>
      <c r="W90" s="112"/>
      <c r="X90" s="31" t="s">
        <v>364</v>
      </c>
      <c r="Y90" s="125">
        <v>45569.0</v>
      </c>
      <c r="Z90" s="126">
        <v>380000.0</v>
      </c>
      <c r="AA90" s="117"/>
      <c r="AL90" s="144"/>
      <c r="AM90" s="144"/>
      <c r="AN90" s="144"/>
      <c r="AO90" s="144"/>
      <c r="AP90" s="144"/>
      <c r="AQ90" s="144"/>
      <c r="AR90" s="144"/>
      <c r="AS90" s="144"/>
    </row>
    <row r="91" ht="22.5" customHeight="1">
      <c r="A91" s="135" t="s">
        <v>505</v>
      </c>
      <c r="B91" s="160"/>
      <c r="C91" s="133"/>
      <c r="D91" s="160"/>
      <c r="E91" s="133"/>
      <c r="F91" s="133"/>
      <c r="G91" s="133"/>
      <c r="H91" s="133"/>
      <c r="I91" s="133"/>
      <c r="J91" s="133"/>
      <c r="K91" s="158">
        <v>340000.0</v>
      </c>
      <c r="L91" s="164"/>
      <c r="M91" s="133"/>
      <c r="N91" s="159"/>
      <c r="O91" s="159"/>
      <c r="P91" s="113"/>
      <c r="Q91" s="119"/>
      <c r="R91" s="120"/>
      <c r="S91" s="114"/>
      <c r="T91" s="67" t="s">
        <v>506</v>
      </c>
      <c r="U91" s="110">
        <v>45540.0</v>
      </c>
      <c r="V91" s="111">
        <v>320000.0</v>
      </c>
      <c r="W91" s="112"/>
      <c r="X91" s="31" t="s">
        <v>324</v>
      </c>
      <c r="Y91" s="125">
        <v>45569.0</v>
      </c>
      <c r="Z91" s="126">
        <v>250000.0</v>
      </c>
      <c r="AA91" s="117"/>
      <c r="AL91" s="144"/>
      <c r="AM91" s="144"/>
      <c r="AN91" s="144"/>
      <c r="AO91" s="144"/>
      <c r="AP91" s="144"/>
      <c r="AQ91" s="144"/>
      <c r="AR91" s="144"/>
      <c r="AS91" s="144"/>
    </row>
    <row r="92" ht="22.5" customHeight="1">
      <c r="A92" s="161" t="s">
        <v>141</v>
      </c>
      <c r="B92" s="158">
        <v>380000.0</v>
      </c>
      <c r="C92" s="157">
        <v>390000.0</v>
      </c>
      <c r="D92" s="157">
        <v>390000.0</v>
      </c>
      <c r="E92" s="158">
        <v>380000.0</v>
      </c>
      <c r="F92" s="158">
        <v>390000.0</v>
      </c>
      <c r="G92" s="158">
        <v>1064000.0</v>
      </c>
      <c r="H92" s="158">
        <v>0.0</v>
      </c>
      <c r="I92" s="158">
        <v>0.0</v>
      </c>
      <c r="J92" s="158">
        <v>1120000.0</v>
      </c>
      <c r="K92" s="158">
        <v>0.0</v>
      </c>
      <c r="L92" s="158">
        <v>0.0</v>
      </c>
      <c r="M92" s="158">
        <v>1120000.0</v>
      </c>
      <c r="N92" s="159"/>
      <c r="O92" s="159"/>
      <c r="P92" s="113" t="s">
        <v>507</v>
      </c>
      <c r="Q92" s="119">
        <v>45509.0</v>
      </c>
      <c r="R92" s="120">
        <v>450000.0</v>
      </c>
      <c r="S92" s="114"/>
      <c r="T92" s="67" t="s">
        <v>297</v>
      </c>
      <c r="U92" s="110">
        <v>45540.0</v>
      </c>
      <c r="V92" s="111">
        <v>250000.0</v>
      </c>
      <c r="W92" s="112"/>
      <c r="X92" s="31" t="s">
        <v>351</v>
      </c>
      <c r="Y92" s="125">
        <v>45571.0</v>
      </c>
      <c r="Z92" s="126">
        <v>310000.0</v>
      </c>
      <c r="AA92" s="117"/>
      <c r="AL92" s="144"/>
      <c r="AM92" s="144"/>
      <c r="AN92" s="144"/>
      <c r="AO92" s="144"/>
      <c r="AP92" s="144"/>
      <c r="AQ92" s="144"/>
      <c r="AR92" s="144"/>
      <c r="AS92" s="144"/>
    </row>
    <row r="93" ht="22.5" customHeight="1">
      <c r="A93" s="134" t="s">
        <v>508</v>
      </c>
      <c r="B93" s="133"/>
      <c r="C93" s="165">
        <v>450000.0</v>
      </c>
      <c r="D93" s="165">
        <v>450000.0</v>
      </c>
      <c r="E93" s="140">
        <v>450000.0</v>
      </c>
      <c r="F93" s="140">
        <v>450000.0</v>
      </c>
      <c r="G93" s="140">
        <v>450000.0</v>
      </c>
      <c r="H93" s="140">
        <v>450000.0</v>
      </c>
      <c r="I93" s="140">
        <v>450000.0</v>
      </c>
      <c r="J93" s="158">
        <v>450000.0</v>
      </c>
      <c r="K93" s="158">
        <v>450000.0</v>
      </c>
      <c r="L93" s="158">
        <v>450000.0</v>
      </c>
      <c r="M93" s="158">
        <v>450000.0</v>
      </c>
      <c r="N93" s="159"/>
      <c r="O93" s="159"/>
      <c r="P93" s="113" t="s">
        <v>364</v>
      </c>
      <c r="Q93" s="119">
        <v>45509.0</v>
      </c>
      <c r="R93" s="120">
        <v>380000.0</v>
      </c>
      <c r="S93" s="114"/>
      <c r="T93" s="67" t="s">
        <v>365</v>
      </c>
      <c r="U93" s="110">
        <v>45541.0</v>
      </c>
      <c r="V93" s="111">
        <v>250000.0</v>
      </c>
      <c r="W93" s="112"/>
      <c r="X93" s="31" t="s">
        <v>370</v>
      </c>
      <c r="Y93" s="125">
        <v>45569.0</v>
      </c>
      <c r="Z93" s="126">
        <v>420000.0</v>
      </c>
      <c r="AA93" s="31" t="s">
        <v>388</v>
      </c>
      <c r="AL93" s="144"/>
      <c r="AM93" s="144"/>
      <c r="AN93" s="144"/>
      <c r="AO93" s="144"/>
      <c r="AP93" s="144"/>
      <c r="AQ93" s="144"/>
      <c r="AR93" s="144"/>
      <c r="AS93" s="144"/>
    </row>
    <row r="94" ht="22.5" customHeight="1">
      <c r="A94" s="156" t="s">
        <v>509</v>
      </c>
      <c r="B94" s="133"/>
      <c r="C94" s="160"/>
      <c r="D94" s="160"/>
      <c r="E94" s="133"/>
      <c r="F94" s="158">
        <v>450000.0</v>
      </c>
      <c r="G94" s="158">
        <v>450000.0</v>
      </c>
      <c r="H94" s="158">
        <v>450000.0</v>
      </c>
      <c r="I94" s="158">
        <v>450000.0</v>
      </c>
      <c r="J94" s="158">
        <v>450000.0</v>
      </c>
      <c r="K94" s="158">
        <v>450000.0</v>
      </c>
      <c r="L94" s="158">
        <v>450000.0</v>
      </c>
      <c r="M94" s="158">
        <v>450000.0</v>
      </c>
      <c r="N94" s="159"/>
      <c r="O94" s="159"/>
      <c r="P94" s="113" t="s">
        <v>306</v>
      </c>
      <c r="Q94" s="119">
        <v>45509.0</v>
      </c>
      <c r="R94" s="120">
        <v>420000.0</v>
      </c>
      <c r="S94" s="114"/>
      <c r="T94" s="67" t="s">
        <v>364</v>
      </c>
      <c r="U94" s="110">
        <v>45541.0</v>
      </c>
      <c r="V94" s="111">
        <v>380000.0</v>
      </c>
      <c r="W94" s="112"/>
      <c r="X94" s="31" t="s">
        <v>486</v>
      </c>
      <c r="Y94" s="125">
        <v>45572.0</v>
      </c>
      <c r="Z94" s="126">
        <v>320000.0</v>
      </c>
      <c r="AA94" s="117"/>
      <c r="AL94" s="144"/>
      <c r="AM94" s="144"/>
      <c r="AN94" s="144"/>
      <c r="AO94" s="144"/>
      <c r="AP94" s="144"/>
      <c r="AQ94" s="144"/>
      <c r="AR94" s="144"/>
      <c r="AS94" s="144"/>
    </row>
    <row r="95" ht="22.5" customHeight="1">
      <c r="A95" s="134" t="s">
        <v>510</v>
      </c>
      <c r="B95" s="133"/>
      <c r="C95" s="160"/>
      <c r="D95" s="160"/>
      <c r="E95" s="133"/>
      <c r="F95" s="133"/>
      <c r="G95" s="133"/>
      <c r="H95" s="133"/>
      <c r="I95" s="133"/>
      <c r="J95" s="133"/>
      <c r="K95" s="133"/>
      <c r="L95" s="158">
        <v>450000.0</v>
      </c>
      <c r="M95" s="158">
        <v>450000.0</v>
      </c>
      <c r="N95" s="159"/>
      <c r="O95" s="159"/>
      <c r="P95" s="113"/>
      <c r="Q95" s="119"/>
      <c r="R95" s="120"/>
      <c r="S95" s="114"/>
      <c r="T95" s="67"/>
      <c r="U95" s="110"/>
      <c r="V95" s="111"/>
      <c r="W95" s="112"/>
      <c r="X95" s="31" t="s">
        <v>280</v>
      </c>
      <c r="Y95" s="125">
        <v>45572.0</v>
      </c>
      <c r="Z95" s="126">
        <v>450000.0</v>
      </c>
      <c r="AA95" s="117"/>
      <c r="AL95" s="144"/>
      <c r="AM95" s="144"/>
      <c r="AN95" s="144"/>
      <c r="AO95" s="144"/>
      <c r="AP95" s="144"/>
      <c r="AQ95" s="144"/>
      <c r="AR95" s="144"/>
      <c r="AS95" s="144"/>
    </row>
    <row r="96" ht="22.5" customHeight="1">
      <c r="A96" s="156" t="s">
        <v>235</v>
      </c>
      <c r="B96" s="158">
        <v>420000.0</v>
      </c>
      <c r="C96" s="157">
        <v>420000.0</v>
      </c>
      <c r="D96" s="157">
        <v>420000.0</v>
      </c>
      <c r="E96" s="158">
        <v>420000.0</v>
      </c>
      <c r="F96" s="158">
        <v>420000.0</v>
      </c>
      <c r="G96" s="158">
        <v>420000.0</v>
      </c>
      <c r="H96" s="158">
        <v>420000.0</v>
      </c>
      <c r="I96" s="158">
        <v>420000.0</v>
      </c>
      <c r="J96" s="158">
        <v>420000.0</v>
      </c>
      <c r="K96" s="158">
        <v>420000.0</v>
      </c>
      <c r="L96" s="158">
        <v>420000.0</v>
      </c>
      <c r="M96" s="158">
        <v>420000.0</v>
      </c>
      <c r="N96" s="159"/>
      <c r="O96" s="159"/>
      <c r="P96" s="113" t="s">
        <v>288</v>
      </c>
      <c r="Q96" s="119">
        <v>45510.0</v>
      </c>
      <c r="R96" s="120">
        <v>250000.0</v>
      </c>
      <c r="S96" s="114"/>
      <c r="T96" s="67" t="s">
        <v>359</v>
      </c>
      <c r="U96" s="110">
        <v>45541.0</v>
      </c>
      <c r="V96" s="111">
        <v>250000.0</v>
      </c>
      <c r="W96" s="67" t="s">
        <v>511</v>
      </c>
      <c r="X96" s="31" t="s">
        <v>328</v>
      </c>
      <c r="Y96" s="125">
        <v>45572.0</v>
      </c>
      <c r="Z96" s="126">
        <v>310000.0</v>
      </c>
      <c r="AA96" s="117"/>
      <c r="AL96" s="144"/>
      <c r="AM96" s="144"/>
      <c r="AN96" s="144"/>
      <c r="AO96" s="144"/>
      <c r="AP96" s="144"/>
      <c r="AQ96" s="144"/>
      <c r="AR96" s="144"/>
      <c r="AS96" s="144"/>
    </row>
    <row r="97" ht="22.5" customHeight="1">
      <c r="A97" s="135" t="s">
        <v>80</v>
      </c>
      <c r="B97" s="158">
        <v>210000.0</v>
      </c>
      <c r="C97" s="157">
        <v>2400000.0</v>
      </c>
      <c r="D97" s="157">
        <v>0.0</v>
      </c>
      <c r="E97" s="158">
        <v>0.0</v>
      </c>
      <c r="F97" s="158">
        <v>0.0</v>
      </c>
      <c r="G97" s="158">
        <v>0.0</v>
      </c>
      <c r="H97" s="158">
        <v>0.0</v>
      </c>
      <c r="I97" s="158">
        <v>1230000.0</v>
      </c>
      <c r="J97" s="158">
        <v>0.0</v>
      </c>
      <c r="K97" s="158">
        <v>0.0</v>
      </c>
      <c r="L97" s="133"/>
      <c r="M97" s="133"/>
      <c r="N97" s="136"/>
      <c r="O97" s="136"/>
      <c r="P97" s="113" t="s">
        <v>512</v>
      </c>
      <c r="Q97" s="119">
        <v>45510.0</v>
      </c>
      <c r="R97" s="120">
        <v>310000.0</v>
      </c>
      <c r="S97" s="114"/>
      <c r="T97" s="67" t="s">
        <v>333</v>
      </c>
      <c r="U97" s="110">
        <v>45541.0</v>
      </c>
      <c r="V97" s="111">
        <v>450000.0</v>
      </c>
      <c r="W97" s="112"/>
      <c r="X97" s="31" t="s">
        <v>319</v>
      </c>
      <c r="Y97" s="125">
        <v>45572.0</v>
      </c>
      <c r="Z97" s="126">
        <v>310000.0</v>
      </c>
      <c r="AA97" s="117"/>
      <c r="AL97" s="144"/>
      <c r="AM97" s="144"/>
      <c r="AN97" s="144"/>
      <c r="AO97" s="144"/>
      <c r="AP97" s="144"/>
      <c r="AQ97" s="144"/>
      <c r="AR97" s="144"/>
      <c r="AS97" s="144"/>
    </row>
    <row r="98" ht="22.5" customHeight="1">
      <c r="A98" s="135" t="s">
        <v>13</v>
      </c>
      <c r="B98" s="158">
        <v>420000.0</v>
      </c>
      <c r="C98" s="157">
        <v>420000.0</v>
      </c>
      <c r="D98" s="157">
        <v>420000.0</v>
      </c>
      <c r="E98" s="158">
        <v>420000.0</v>
      </c>
      <c r="F98" s="158">
        <v>420000.0</v>
      </c>
      <c r="G98" s="158">
        <v>420000.0</v>
      </c>
      <c r="H98" s="158">
        <v>420000.0</v>
      </c>
      <c r="I98" s="158">
        <v>420000.0</v>
      </c>
      <c r="J98" s="158">
        <v>420000.0</v>
      </c>
      <c r="K98" s="158">
        <v>420000.0</v>
      </c>
      <c r="L98" s="133"/>
      <c r="M98" s="133"/>
      <c r="N98" s="159"/>
      <c r="O98" s="159"/>
      <c r="P98" s="113" t="s">
        <v>513</v>
      </c>
      <c r="Q98" s="119">
        <v>45510.0</v>
      </c>
      <c r="R98" s="120">
        <v>300000.0</v>
      </c>
      <c r="S98" s="114"/>
      <c r="T98" s="67" t="s">
        <v>288</v>
      </c>
      <c r="U98" s="110">
        <v>45541.0</v>
      </c>
      <c r="V98" s="111">
        <v>250000.0</v>
      </c>
      <c r="W98" s="112"/>
      <c r="X98" s="31" t="s">
        <v>300</v>
      </c>
      <c r="Y98" s="125">
        <v>45572.0</v>
      </c>
      <c r="Z98" s="126">
        <v>420000.0</v>
      </c>
      <c r="AA98" s="117"/>
      <c r="AL98" s="144"/>
      <c r="AM98" s="144"/>
      <c r="AN98" s="144"/>
      <c r="AO98" s="144"/>
      <c r="AP98" s="144"/>
      <c r="AQ98" s="144"/>
      <c r="AR98" s="144"/>
      <c r="AS98" s="144"/>
    </row>
    <row r="99" ht="22.5" customHeight="1">
      <c r="A99" s="166" t="s">
        <v>217</v>
      </c>
      <c r="B99" s="158">
        <v>456000.0</v>
      </c>
      <c r="C99" s="157">
        <v>468000.0</v>
      </c>
      <c r="D99" s="157">
        <v>468000.0</v>
      </c>
      <c r="E99" s="158">
        <v>456000.0</v>
      </c>
      <c r="F99" s="158">
        <v>702000.0</v>
      </c>
      <c r="G99" s="158">
        <v>0.0</v>
      </c>
      <c r="H99" s="158">
        <v>480000.0</v>
      </c>
      <c r="I99" s="158">
        <v>480000.0</v>
      </c>
      <c r="J99" s="133"/>
      <c r="K99" s="133"/>
      <c r="L99" s="133"/>
      <c r="M99" s="133"/>
      <c r="N99" s="136"/>
      <c r="O99" s="136"/>
      <c r="P99" s="113" t="s">
        <v>328</v>
      </c>
      <c r="Q99" s="119">
        <v>45510.0</v>
      </c>
      <c r="R99" s="120">
        <v>310000.0</v>
      </c>
      <c r="S99" s="114"/>
      <c r="T99" s="67" t="s">
        <v>375</v>
      </c>
      <c r="U99" s="110">
        <v>45542.0</v>
      </c>
      <c r="V99" s="111">
        <v>450000.0</v>
      </c>
      <c r="W99" s="112"/>
      <c r="X99" s="31" t="s">
        <v>384</v>
      </c>
      <c r="Y99" s="125">
        <v>45573.0</v>
      </c>
      <c r="Z99" s="126">
        <v>1230000.0</v>
      </c>
      <c r="AA99" s="117"/>
      <c r="AL99" s="144"/>
      <c r="AM99" s="144"/>
      <c r="AN99" s="144"/>
      <c r="AO99" s="144"/>
      <c r="AP99" s="144"/>
      <c r="AQ99" s="144"/>
      <c r="AR99" s="144"/>
      <c r="AS99" s="144"/>
    </row>
    <row r="100" ht="22.5" customHeight="1">
      <c r="A100" s="167" t="s">
        <v>514</v>
      </c>
      <c r="B100" s="133"/>
      <c r="C100" s="160"/>
      <c r="D100" s="160"/>
      <c r="E100" s="133"/>
      <c r="F100" s="133"/>
      <c r="G100" s="133"/>
      <c r="H100" s="133"/>
      <c r="I100" s="158">
        <v>480000.0</v>
      </c>
      <c r="J100" s="158">
        <v>480000.0</v>
      </c>
      <c r="K100" s="158">
        <v>480000.0</v>
      </c>
      <c r="L100" s="158">
        <v>480000.0</v>
      </c>
      <c r="M100" s="158">
        <v>480000.0</v>
      </c>
      <c r="N100" s="159"/>
      <c r="O100" s="159"/>
      <c r="P100" s="113" t="s">
        <v>375</v>
      </c>
      <c r="Q100" s="119">
        <v>45510.0</v>
      </c>
      <c r="R100" s="120">
        <v>450000.0</v>
      </c>
      <c r="S100" s="114"/>
      <c r="T100" s="67" t="s">
        <v>318</v>
      </c>
      <c r="U100" s="110">
        <v>45542.0</v>
      </c>
      <c r="V100" s="111">
        <v>250000.0</v>
      </c>
      <c r="W100" s="112"/>
      <c r="X100" s="31" t="s">
        <v>515</v>
      </c>
      <c r="Y100" s="125">
        <v>45573.0</v>
      </c>
      <c r="Z100" s="126">
        <v>400000.0</v>
      </c>
      <c r="AA100" s="117"/>
      <c r="AL100" s="144"/>
      <c r="AM100" s="144"/>
      <c r="AN100" s="144"/>
      <c r="AO100" s="144"/>
      <c r="AP100" s="144"/>
      <c r="AQ100" s="144"/>
      <c r="AR100" s="144"/>
      <c r="AS100" s="144"/>
    </row>
    <row r="101" ht="22.5" customHeight="1">
      <c r="A101" s="156" t="s">
        <v>232</v>
      </c>
      <c r="B101" s="158">
        <v>310000.0</v>
      </c>
      <c r="C101" s="157">
        <v>310000.0</v>
      </c>
      <c r="D101" s="157">
        <v>310000.0</v>
      </c>
      <c r="E101" s="158">
        <v>310000.0</v>
      </c>
      <c r="F101" s="158">
        <v>310000.0</v>
      </c>
      <c r="G101" s="158">
        <v>310000.0</v>
      </c>
      <c r="H101" s="158">
        <v>310000.0</v>
      </c>
      <c r="I101" s="158">
        <v>310000.0</v>
      </c>
      <c r="J101" s="158">
        <v>310000.0</v>
      </c>
      <c r="K101" s="158">
        <v>310000.0</v>
      </c>
      <c r="L101" s="158">
        <v>310000.0</v>
      </c>
      <c r="M101" s="158">
        <v>310000.0</v>
      </c>
      <c r="N101" s="159"/>
      <c r="O101" s="159"/>
      <c r="P101" s="113" t="s">
        <v>516</v>
      </c>
      <c r="Q101" s="119">
        <v>45510.0</v>
      </c>
      <c r="R101" s="120">
        <v>380000.0</v>
      </c>
      <c r="S101" s="114"/>
      <c r="T101" s="67" t="s">
        <v>317</v>
      </c>
      <c r="U101" s="110">
        <v>45544.0</v>
      </c>
      <c r="V101" s="111">
        <v>420000.0</v>
      </c>
      <c r="W101" s="112"/>
      <c r="X101" s="31" t="s">
        <v>380</v>
      </c>
      <c r="Y101" s="125">
        <v>45574.0</v>
      </c>
      <c r="Z101" s="126">
        <v>250000.0</v>
      </c>
      <c r="AA101" s="117"/>
      <c r="AL101" s="144"/>
      <c r="AM101" s="144"/>
      <c r="AN101" s="144"/>
      <c r="AO101" s="144"/>
      <c r="AP101" s="144"/>
      <c r="AQ101" s="144"/>
      <c r="AR101" s="144"/>
      <c r="AS101" s="144"/>
    </row>
    <row r="102" ht="22.5" customHeight="1">
      <c r="A102" s="156" t="s">
        <v>218</v>
      </c>
      <c r="B102" s="158">
        <v>420000.0</v>
      </c>
      <c r="C102" s="157">
        <v>420000.0</v>
      </c>
      <c r="D102" s="157">
        <v>420000.0</v>
      </c>
      <c r="E102" s="158">
        <v>420000.0</v>
      </c>
      <c r="F102" s="158">
        <v>420000.0</v>
      </c>
      <c r="G102" s="158">
        <v>420000.0</v>
      </c>
      <c r="H102" s="158">
        <v>450000.0</v>
      </c>
      <c r="I102" s="158">
        <v>390000.0</v>
      </c>
      <c r="J102" s="158">
        <v>420000.0</v>
      </c>
      <c r="K102" s="158">
        <v>420000.0</v>
      </c>
      <c r="L102" s="158">
        <v>420000.0</v>
      </c>
      <c r="M102" s="158">
        <v>420000.0</v>
      </c>
      <c r="N102" s="159"/>
      <c r="O102" s="159"/>
      <c r="P102" s="113" t="s">
        <v>355</v>
      </c>
      <c r="Q102" s="119">
        <v>45512.0</v>
      </c>
      <c r="R102" s="120">
        <v>320000.0</v>
      </c>
      <c r="S102" s="114"/>
      <c r="T102" s="67" t="s">
        <v>355</v>
      </c>
      <c r="U102" s="110">
        <v>45544.0</v>
      </c>
      <c r="V102" s="111">
        <v>320000.0</v>
      </c>
      <c r="W102" s="112"/>
      <c r="X102" s="31" t="s">
        <v>491</v>
      </c>
      <c r="Y102" s="168">
        <v>45575.0</v>
      </c>
      <c r="Z102" s="126">
        <v>300000.0</v>
      </c>
      <c r="AA102" s="117"/>
      <c r="AL102" s="144"/>
      <c r="AM102" s="144"/>
      <c r="AN102" s="144"/>
      <c r="AO102" s="144"/>
      <c r="AP102" s="144"/>
      <c r="AQ102" s="144"/>
      <c r="AR102" s="144"/>
      <c r="AS102" s="144"/>
    </row>
    <row r="103" ht="22.5" customHeight="1">
      <c r="A103" s="135" t="s">
        <v>517</v>
      </c>
      <c r="B103" s="133"/>
      <c r="C103" s="160"/>
      <c r="D103" s="160"/>
      <c r="E103" s="158">
        <v>3000000.0</v>
      </c>
      <c r="F103" s="158">
        <v>0.0</v>
      </c>
      <c r="G103" s="158">
        <v>0.0</v>
      </c>
      <c r="H103" s="158">
        <v>0.0</v>
      </c>
      <c r="I103" s="158">
        <v>0.0</v>
      </c>
      <c r="J103" s="158">
        <v>0.0</v>
      </c>
      <c r="K103" s="158">
        <v>0.0</v>
      </c>
      <c r="L103" s="158">
        <v>0.0</v>
      </c>
      <c r="M103" s="158">
        <v>0.0</v>
      </c>
      <c r="N103" s="159"/>
      <c r="O103" s="159"/>
      <c r="P103" s="113" t="s">
        <v>338</v>
      </c>
      <c r="Q103" s="119">
        <v>45512.0</v>
      </c>
      <c r="R103" s="120">
        <v>250000.0</v>
      </c>
      <c r="S103" s="114"/>
      <c r="T103" s="67" t="s">
        <v>518</v>
      </c>
      <c r="U103" s="110">
        <v>45545.0</v>
      </c>
      <c r="V103" s="111">
        <v>300000.0</v>
      </c>
      <c r="W103" s="112"/>
      <c r="X103" s="31" t="s">
        <v>494</v>
      </c>
      <c r="Y103" s="168">
        <v>45575.0</v>
      </c>
      <c r="Z103" s="126">
        <v>300000.0</v>
      </c>
      <c r="AA103" s="117"/>
      <c r="AL103" s="144"/>
      <c r="AM103" s="144"/>
      <c r="AN103" s="144"/>
      <c r="AO103" s="144"/>
      <c r="AP103" s="144"/>
      <c r="AQ103" s="144"/>
      <c r="AR103" s="144"/>
      <c r="AS103" s="144"/>
    </row>
    <row r="104" ht="22.5" customHeight="1">
      <c r="A104" s="156" t="s">
        <v>519</v>
      </c>
      <c r="B104" s="158">
        <v>450000.0</v>
      </c>
      <c r="C104" s="157">
        <v>450000.0</v>
      </c>
      <c r="D104" s="157">
        <v>450000.0</v>
      </c>
      <c r="E104" s="158">
        <v>450000.0</v>
      </c>
      <c r="F104" s="158">
        <v>450000.0</v>
      </c>
      <c r="G104" s="158">
        <v>450000.0</v>
      </c>
      <c r="H104" s="158">
        <v>450000.0</v>
      </c>
      <c r="I104" s="158">
        <v>450000.0</v>
      </c>
      <c r="J104" s="158">
        <v>450000.0</v>
      </c>
      <c r="K104" s="158">
        <v>450000.0</v>
      </c>
      <c r="L104" s="158">
        <v>450000.0</v>
      </c>
      <c r="M104" s="158">
        <v>450000.0</v>
      </c>
      <c r="N104" s="159"/>
      <c r="O104" s="159"/>
      <c r="P104" s="113" t="s">
        <v>304</v>
      </c>
      <c r="Q104" s="119">
        <v>45512.0</v>
      </c>
      <c r="R104" s="120">
        <v>420000.0</v>
      </c>
      <c r="S104" s="114"/>
      <c r="T104" s="67" t="s">
        <v>515</v>
      </c>
      <c r="U104" s="110">
        <v>45545.0</v>
      </c>
      <c r="V104" s="111">
        <v>400000.0</v>
      </c>
      <c r="W104" s="112"/>
      <c r="X104" s="31" t="s">
        <v>335</v>
      </c>
      <c r="Y104" s="168">
        <v>45576.0</v>
      </c>
      <c r="Z104" s="126">
        <v>300000.0</v>
      </c>
      <c r="AA104" s="117"/>
      <c r="AL104" s="144"/>
      <c r="AM104" s="144"/>
      <c r="AN104" s="144"/>
      <c r="AO104" s="144"/>
      <c r="AP104" s="144"/>
      <c r="AQ104" s="144"/>
      <c r="AR104" s="144"/>
      <c r="AS104" s="144"/>
    </row>
    <row r="105" ht="22.5" customHeight="1">
      <c r="A105" s="134" t="s">
        <v>59</v>
      </c>
      <c r="B105" s="158">
        <v>420000.0</v>
      </c>
      <c r="C105" s="157">
        <v>420000.0</v>
      </c>
      <c r="D105" s="157">
        <v>420000.0</v>
      </c>
      <c r="E105" s="158">
        <v>420000.0</v>
      </c>
      <c r="F105" s="158">
        <v>420000.0</v>
      </c>
      <c r="G105" s="158">
        <v>420000.0</v>
      </c>
      <c r="H105" s="158">
        <v>210000.0</v>
      </c>
      <c r="I105" s="133"/>
      <c r="J105" s="158">
        <v>420000.0</v>
      </c>
      <c r="K105" s="158">
        <v>420000.0</v>
      </c>
      <c r="L105" s="158">
        <v>420000.0</v>
      </c>
      <c r="M105" s="158">
        <v>420000.0</v>
      </c>
      <c r="N105" s="159"/>
      <c r="O105" s="159"/>
      <c r="P105" s="113" t="s">
        <v>333</v>
      </c>
      <c r="Q105" s="119">
        <v>45512.0</v>
      </c>
      <c r="R105" s="120">
        <v>450000.0</v>
      </c>
      <c r="S105" s="114"/>
      <c r="T105" s="67" t="s">
        <v>338</v>
      </c>
      <c r="U105" s="110">
        <v>45545.0</v>
      </c>
      <c r="V105" s="111">
        <v>300000.0</v>
      </c>
      <c r="W105" s="112"/>
      <c r="X105" s="31" t="s">
        <v>520</v>
      </c>
      <c r="Y105" s="168">
        <v>45580.0</v>
      </c>
      <c r="Z105" s="126">
        <v>450000.0</v>
      </c>
      <c r="AA105" s="117"/>
      <c r="AL105" s="144"/>
      <c r="AM105" s="144"/>
      <c r="AN105" s="144"/>
      <c r="AO105" s="144"/>
      <c r="AP105" s="144"/>
      <c r="AQ105" s="144"/>
      <c r="AR105" s="144"/>
      <c r="AS105" s="144"/>
    </row>
    <row r="106" ht="22.5" customHeight="1">
      <c r="A106" s="135" t="s">
        <v>521</v>
      </c>
      <c r="B106" s="133"/>
      <c r="C106" s="157">
        <v>150000.0</v>
      </c>
      <c r="D106" s="157">
        <v>450000.0</v>
      </c>
      <c r="E106" s="158">
        <v>450000.0</v>
      </c>
      <c r="F106" s="158">
        <v>450000.0</v>
      </c>
      <c r="G106" s="158">
        <v>450000.0</v>
      </c>
      <c r="H106" s="133"/>
      <c r="I106" s="133"/>
      <c r="J106" s="133"/>
      <c r="K106" s="133"/>
      <c r="L106" s="133"/>
      <c r="M106" s="133"/>
      <c r="N106" s="136"/>
      <c r="O106" s="136"/>
      <c r="P106" s="113" t="s">
        <v>522</v>
      </c>
      <c r="Q106" s="119">
        <v>45513.0</v>
      </c>
      <c r="R106" s="120">
        <v>450000.0</v>
      </c>
      <c r="S106" s="114"/>
      <c r="T106" s="67" t="s">
        <v>343</v>
      </c>
      <c r="U106" s="110">
        <v>45545.0</v>
      </c>
      <c r="V106" s="111">
        <v>300000.0</v>
      </c>
      <c r="W106" s="112"/>
      <c r="X106" s="31" t="s">
        <v>523</v>
      </c>
      <c r="Y106" s="168">
        <v>45580.0</v>
      </c>
      <c r="Z106" s="126">
        <v>320000.0</v>
      </c>
      <c r="AA106" s="117"/>
      <c r="AL106" s="144"/>
      <c r="AM106" s="144"/>
      <c r="AN106" s="144"/>
      <c r="AO106" s="144"/>
      <c r="AP106" s="144"/>
      <c r="AQ106" s="144"/>
      <c r="AR106" s="144"/>
      <c r="AS106" s="144"/>
    </row>
    <row r="107" ht="22.5" customHeight="1">
      <c r="A107" s="135" t="s">
        <v>85</v>
      </c>
      <c r="B107" s="158">
        <v>315000.0</v>
      </c>
      <c r="C107" s="157">
        <v>0.0</v>
      </c>
      <c r="D107" s="157">
        <v>312000.0</v>
      </c>
      <c r="E107" s="158">
        <v>304000.0</v>
      </c>
      <c r="F107" s="158">
        <v>304000.0</v>
      </c>
      <c r="G107" s="158">
        <v>304000.0</v>
      </c>
      <c r="H107" s="158">
        <v>300000.0</v>
      </c>
      <c r="I107" s="158">
        <v>320000.0</v>
      </c>
      <c r="J107" s="158">
        <v>320000.0</v>
      </c>
      <c r="K107" s="133"/>
      <c r="L107" s="133"/>
      <c r="M107" s="133"/>
      <c r="N107" s="136"/>
      <c r="O107" s="136"/>
      <c r="P107" s="113" t="s">
        <v>335</v>
      </c>
      <c r="Q107" s="119">
        <v>45512.0</v>
      </c>
      <c r="R107" s="120">
        <v>300000.0</v>
      </c>
      <c r="S107" s="114"/>
      <c r="T107" s="67" t="s">
        <v>279</v>
      </c>
      <c r="U107" s="110">
        <v>45545.0</v>
      </c>
      <c r="V107" s="111">
        <v>320000.0</v>
      </c>
      <c r="W107" s="112"/>
      <c r="X107" s="31" t="s">
        <v>524</v>
      </c>
      <c r="Y107" s="168">
        <v>45580.0</v>
      </c>
      <c r="Z107" s="126">
        <v>250000.0</v>
      </c>
      <c r="AA107" s="117"/>
      <c r="AL107" s="144"/>
      <c r="AM107" s="144"/>
      <c r="AN107" s="144"/>
      <c r="AO107" s="144"/>
      <c r="AP107" s="144"/>
      <c r="AQ107" s="144"/>
      <c r="AR107" s="144"/>
      <c r="AS107" s="144"/>
    </row>
    <row r="108" ht="22.5" customHeight="1">
      <c r="A108" s="135" t="s">
        <v>78</v>
      </c>
      <c r="B108" s="158">
        <v>304000.0</v>
      </c>
      <c r="C108" s="160"/>
      <c r="D108" s="160"/>
      <c r="E108" s="133"/>
      <c r="F108" s="133"/>
      <c r="G108" s="133"/>
      <c r="H108" s="133"/>
      <c r="I108" s="133"/>
      <c r="J108" s="133"/>
      <c r="K108" s="133"/>
      <c r="L108" s="133"/>
      <c r="M108" s="133"/>
      <c r="N108" s="136"/>
      <c r="O108" s="169" t="s">
        <v>525</v>
      </c>
      <c r="P108" s="113" t="s">
        <v>395</v>
      </c>
      <c r="Q108" s="119">
        <v>45514.0</v>
      </c>
      <c r="R108" s="120">
        <v>250000.0</v>
      </c>
      <c r="S108" s="114"/>
      <c r="T108" s="67" t="s">
        <v>381</v>
      </c>
      <c r="U108" s="110">
        <v>45546.0</v>
      </c>
      <c r="V108" s="111">
        <v>250000.0</v>
      </c>
      <c r="W108" s="112"/>
      <c r="X108" s="31" t="s">
        <v>381</v>
      </c>
      <c r="Y108" s="168">
        <v>45581.0</v>
      </c>
      <c r="Z108" s="126">
        <v>250000.0</v>
      </c>
      <c r="AA108" s="117"/>
      <c r="AL108" s="144"/>
      <c r="AM108" s="144"/>
      <c r="AN108" s="144"/>
      <c r="AO108" s="144"/>
      <c r="AP108" s="144"/>
      <c r="AQ108" s="144"/>
      <c r="AR108" s="144"/>
      <c r="AS108" s="144"/>
    </row>
    <row r="109" ht="22.5" customHeight="1">
      <c r="A109" s="170" t="s">
        <v>16</v>
      </c>
      <c r="B109" s="171">
        <f t="shared" ref="B109:M109" si="1">SUM(B5:B108)</f>
        <v>31585500</v>
      </c>
      <c r="C109" s="171">
        <f t="shared" si="1"/>
        <v>23166000</v>
      </c>
      <c r="D109" s="171">
        <f t="shared" si="1"/>
        <v>19814000</v>
      </c>
      <c r="E109" s="171">
        <f t="shared" si="1"/>
        <v>23997000</v>
      </c>
      <c r="F109" s="171">
        <f t="shared" si="1"/>
        <v>21197000</v>
      </c>
      <c r="G109" s="171">
        <f t="shared" si="1"/>
        <v>21975000</v>
      </c>
      <c r="H109" s="171">
        <f t="shared" si="1"/>
        <v>27779000</v>
      </c>
      <c r="I109" s="171">
        <f t="shared" si="1"/>
        <v>24045000</v>
      </c>
      <c r="J109" s="171">
        <f t="shared" si="1"/>
        <v>24734000</v>
      </c>
      <c r="K109" s="171">
        <f t="shared" si="1"/>
        <v>25790000</v>
      </c>
      <c r="L109" s="171">
        <f t="shared" si="1"/>
        <v>23205000</v>
      </c>
      <c r="M109" s="171">
        <f t="shared" si="1"/>
        <v>22070000</v>
      </c>
      <c r="N109" s="172">
        <f>SUM(B109:M109)</f>
        <v>289357500</v>
      </c>
      <c r="O109" s="172">
        <f>N109/12</f>
        <v>24113125</v>
      </c>
      <c r="P109" s="113" t="s">
        <v>526</v>
      </c>
      <c r="Q109" s="119">
        <v>45516.0</v>
      </c>
      <c r="R109" s="120">
        <v>250000.0</v>
      </c>
      <c r="S109" s="113" t="s">
        <v>405</v>
      </c>
      <c r="T109" s="67" t="s">
        <v>407</v>
      </c>
      <c r="U109" s="110">
        <v>45551.0</v>
      </c>
      <c r="V109" s="111">
        <v>310000.0</v>
      </c>
      <c r="W109" s="112"/>
      <c r="X109" s="31" t="s">
        <v>279</v>
      </c>
      <c r="Y109" s="168">
        <v>45581.0</v>
      </c>
      <c r="Z109" s="126">
        <v>320000.0</v>
      </c>
      <c r="AA109" s="117"/>
      <c r="AL109" s="144"/>
      <c r="AM109" s="144"/>
      <c r="AN109" s="144"/>
      <c r="AO109" s="144"/>
      <c r="AP109" s="144"/>
      <c r="AQ109" s="144"/>
      <c r="AR109" s="144"/>
      <c r="AS109" s="144"/>
    </row>
    <row r="110">
      <c r="B110" s="11"/>
      <c r="C110" s="11"/>
      <c r="D110" s="11"/>
      <c r="E110" s="11"/>
      <c r="F110" s="11"/>
      <c r="P110" s="113" t="s">
        <v>407</v>
      </c>
      <c r="Q110" s="119">
        <v>45518.0</v>
      </c>
      <c r="R110" s="120">
        <v>310000.0</v>
      </c>
      <c r="S110" s="114"/>
      <c r="T110" s="67" t="s">
        <v>386</v>
      </c>
      <c r="U110" s="110">
        <v>45551.0</v>
      </c>
      <c r="V110" s="111">
        <v>310000.0</v>
      </c>
      <c r="W110" s="112"/>
      <c r="X110" s="31" t="s">
        <v>485</v>
      </c>
      <c r="Y110" s="168">
        <v>45581.0</v>
      </c>
      <c r="Z110" s="126">
        <v>320000.0</v>
      </c>
      <c r="AA110" s="117"/>
      <c r="AL110" s="144"/>
      <c r="AM110" s="144"/>
      <c r="AN110" s="144"/>
      <c r="AO110" s="144"/>
      <c r="AP110" s="144"/>
      <c r="AQ110" s="144"/>
      <c r="AR110" s="144"/>
      <c r="AS110" s="144"/>
    </row>
    <row r="111">
      <c r="A111" s="54" t="s">
        <v>17</v>
      </c>
      <c r="B111" s="173" t="s">
        <v>162</v>
      </c>
      <c r="C111" s="173" t="s">
        <v>163</v>
      </c>
      <c r="D111" s="173" t="s">
        <v>32</v>
      </c>
      <c r="E111" s="173" t="s">
        <v>33</v>
      </c>
      <c r="F111" s="173" t="s">
        <v>34</v>
      </c>
      <c r="G111" s="173" t="s">
        <v>35</v>
      </c>
      <c r="H111" s="173" t="s">
        <v>36</v>
      </c>
      <c r="I111" s="173" t="s">
        <v>2</v>
      </c>
      <c r="J111" s="173" t="s">
        <v>3</v>
      </c>
      <c r="K111" s="173" t="s">
        <v>4</v>
      </c>
      <c r="L111" s="173" t="s">
        <v>5</v>
      </c>
      <c r="M111" s="173" t="s">
        <v>6</v>
      </c>
      <c r="P111" s="113" t="s">
        <v>386</v>
      </c>
      <c r="Q111" s="119">
        <v>45518.0</v>
      </c>
      <c r="R111" s="120">
        <v>310000.0</v>
      </c>
      <c r="S111" s="114"/>
      <c r="T111" s="67" t="s">
        <v>520</v>
      </c>
      <c r="U111" s="110">
        <v>45558.0</v>
      </c>
      <c r="V111" s="111">
        <v>105000.0</v>
      </c>
      <c r="W111" s="112"/>
      <c r="X111" s="31" t="s">
        <v>338</v>
      </c>
      <c r="Y111" s="168">
        <v>45583.0</v>
      </c>
      <c r="Z111" s="126">
        <v>250000.0</v>
      </c>
      <c r="AA111" s="117"/>
      <c r="AL111" s="144"/>
      <c r="AM111" s="144"/>
      <c r="AN111" s="144"/>
      <c r="AO111" s="144"/>
      <c r="AP111" s="144"/>
      <c r="AQ111" s="144"/>
      <c r="AR111" s="144"/>
      <c r="AS111" s="144"/>
    </row>
    <row r="112">
      <c r="A112" s="4" t="s">
        <v>19</v>
      </c>
      <c r="B112" s="64">
        <v>200000.0</v>
      </c>
      <c r="C112" s="64">
        <v>200000.0</v>
      </c>
      <c r="D112" s="64">
        <v>200000.0</v>
      </c>
      <c r="E112" s="64">
        <v>200000.0</v>
      </c>
      <c r="F112" s="64">
        <v>200000.0</v>
      </c>
      <c r="G112" s="64">
        <v>200000.0</v>
      </c>
      <c r="H112" s="64">
        <v>200000.0</v>
      </c>
      <c r="I112" s="64">
        <v>200000.0</v>
      </c>
      <c r="J112" s="64">
        <v>210000.0</v>
      </c>
      <c r="K112" s="64">
        <v>220000.0</v>
      </c>
      <c r="L112" s="64">
        <v>225000.0</v>
      </c>
      <c r="M112" s="64">
        <v>225000.0</v>
      </c>
      <c r="P112" s="113" t="s">
        <v>527</v>
      </c>
      <c r="Q112" s="119">
        <v>45524.0</v>
      </c>
      <c r="R112" s="120">
        <v>310000.0</v>
      </c>
      <c r="S112" s="114"/>
      <c r="T112" s="67" t="s">
        <v>370</v>
      </c>
      <c r="U112" s="110">
        <v>45555.0</v>
      </c>
      <c r="V112" s="111">
        <v>420000.0</v>
      </c>
      <c r="W112" s="67" t="s">
        <v>358</v>
      </c>
      <c r="X112" s="31" t="s">
        <v>407</v>
      </c>
      <c r="Y112" s="168">
        <v>45584.0</v>
      </c>
      <c r="Z112" s="126">
        <v>310000.0</v>
      </c>
      <c r="AA112" s="117"/>
      <c r="AL112" s="144"/>
      <c r="AM112" s="144"/>
      <c r="AN112" s="144"/>
      <c r="AO112" s="144"/>
      <c r="AP112" s="144"/>
      <c r="AQ112" s="144"/>
      <c r="AR112" s="144"/>
      <c r="AS112" s="144"/>
    </row>
    <row r="113">
      <c r="A113" s="4" t="s">
        <v>97</v>
      </c>
      <c r="B113" s="64">
        <v>1760000.0</v>
      </c>
      <c r="C113" s="64">
        <v>2676000.0</v>
      </c>
      <c r="D113" s="45">
        <v>2688000.0</v>
      </c>
      <c r="E113" s="64">
        <v>2903000.0</v>
      </c>
      <c r="F113" s="64">
        <v>2730000.0</v>
      </c>
      <c r="G113" s="64">
        <v>2535000.0</v>
      </c>
      <c r="H113" s="64">
        <v>2828000.0</v>
      </c>
      <c r="I113" s="64">
        <v>2470000.0</v>
      </c>
      <c r="J113" s="64">
        <v>3120000.0</v>
      </c>
      <c r="K113" s="64">
        <v>3120000.0</v>
      </c>
      <c r="L113" s="64">
        <v>2502000.0</v>
      </c>
      <c r="M113" s="64">
        <v>1625000.0</v>
      </c>
      <c r="P113" s="113" t="s">
        <v>393</v>
      </c>
      <c r="Q113" s="119">
        <v>45524.0</v>
      </c>
      <c r="R113" s="120">
        <v>420000.0</v>
      </c>
      <c r="S113" s="113" t="s">
        <v>405</v>
      </c>
      <c r="T113" s="67" t="s">
        <v>397</v>
      </c>
      <c r="U113" s="110">
        <v>45559.0</v>
      </c>
      <c r="V113" s="111">
        <v>250000.0</v>
      </c>
      <c r="W113" s="112"/>
      <c r="X113" s="31" t="s">
        <v>386</v>
      </c>
      <c r="Y113" s="168">
        <v>45585.0</v>
      </c>
      <c r="Z113" s="126">
        <v>310000.0</v>
      </c>
      <c r="AA113" s="117"/>
      <c r="AL113" s="144"/>
      <c r="AM113" s="144"/>
      <c r="AN113" s="144"/>
      <c r="AO113" s="144"/>
      <c r="AP113" s="144"/>
      <c r="AQ113" s="144"/>
      <c r="AR113" s="144"/>
      <c r="AS113" s="144"/>
    </row>
    <row r="114">
      <c r="A114" s="17" t="s">
        <v>528</v>
      </c>
      <c r="B114" s="64">
        <v>300000.0</v>
      </c>
      <c r="C114" s="64">
        <v>300000.0</v>
      </c>
      <c r="D114" s="64">
        <v>300000.0</v>
      </c>
      <c r="E114" s="64">
        <v>300000.0</v>
      </c>
      <c r="F114" s="64">
        <v>300000.0</v>
      </c>
      <c r="G114" s="64">
        <v>300000.0</v>
      </c>
      <c r="H114" s="64">
        <v>300000.0</v>
      </c>
      <c r="I114" s="64">
        <v>300000.0</v>
      </c>
      <c r="J114" s="64">
        <v>300000.0</v>
      </c>
      <c r="K114" s="64">
        <v>300000.0</v>
      </c>
      <c r="L114" s="64">
        <v>300000.0</v>
      </c>
      <c r="M114" s="64">
        <v>300000.0</v>
      </c>
      <c r="P114" s="113" t="s">
        <v>529</v>
      </c>
      <c r="Q114" s="119">
        <v>45525.0</v>
      </c>
      <c r="R114" s="120">
        <v>150000.0</v>
      </c>
      <c r="S114" s="114"/>
      <c r="T114" s="67" t="s">
        <v>411</v>
      </c>
      <c r="U114" s="110">
        <v>45560.0</v>
      </c>
      <c r="V114" s="111">
        <v>380000.0</v>
      </c>
      <c r="W114" s="112"/>
      <c r="X114" s="31" t="s">
        <v>530</v>
      </c>
      <c r="Y114" s="168">
        <v>45590.0</v>
      </c>
      <c r="Z114" s="126">
        <v>250000.0</v>
      </c>
      <c r="AA114" s="117"/>
      <c r="AL114" s="144"/>
      <c r="AM114" s="144"/>
      <c r="AN114" s="144"/>
      <c r="AO114" s="144"/>
      <c r="AP114" s="144"/>
      <c r="AQ114" s="144"/>
      <c r="AR114" s="144"/>
      <c r="AS114" s="144"/>
    </row>
    <row r="115">
      <c r="A115" s="4" t="s">
        <v>531</v>
      </c>
      <c r="B115" s="64"/>
      <c r="C115" s="64">
        <v>650000.0</v>
      </c>
      <c r="D115" s="64">
        <v>273700.0</v>
      </c>
      <c r="E115" s="64"/>
      <c r="F115" s="64"/>
      <c r="G115" s="64"/>
      <c r="H115" s="64"/>
      <c r="I115" s="64"/>
      <c r="J115" s="64">
        <v>262000.0</v>
      </c>
      <c r="K115" s="64">
        <v>460000.0</v>
      </c>
      <c r="L115" s="64"/>
      <c r="M115" s="64"/>
      <c r="O115" s="17" t="s">
        <v>532</v>
      </c>
      <c r="P115" s="113" t="s">
        <v>533</v>
      </c>
      <c r="Q115" s="119">
        <v>45525.0</v>
      </c>
      <c r="R115" s="120">
        <v>250000.0</v>
      </c>
      <c r="S115" s="114"/>
      <c r="T115" s="67" t="s">
        <v>419</v>
      </c>
      <c r="U115" s="110">
        <v>45566.0</v>
      </c>
      <c r="V115" s="111">
        <v>320000.0</v>
      </c>
      <c r="W115" s="112"/>
      <c r="X115" s="31" t="s">
        <v>534</v>
      </c>
      <c r="Y115" s="168">
        <v>45590.0</v>
      </c>
      <c r="Z115" s="126">
        <v>60000.0</v>
      </c>
      <c r="AA115" s="117"/>
      <c r="AL115" s="144"/>
      <c r="AM115" s="144"/>
      <c r="AN115" s="144"/>
      <c r="AO115" s="144"/>
      <c r="AP115" s="144"/>
      <c r="AQ115" s="144"/>
      <c r="AR115" s="144"/>
      <c r="AS115" s="144"/>
    </row>
    <row r="116">
      <c r="A116" s="174" t="s">
        <v>21</v>
      </c>
      <c r="B116" s="175">
        <f t="shared" ref="B116:M116" si="2">SUM(B112:B115)</f>
        <v>2260000</v>
      </c>
      <c r="C116" s="175">
        <f t="shared" si="2"/>
        <v>3826000</v>
      </c>
      <c r="D116" s="175">
        <f t="shared" si="2"/>
        <v>3461700</v>
      </c>
      <c r="E116" s="175">
        <f t="shared" si="2"/>
        <v>3403000</v>
      </c>
      <c r="F116" s="175">
        <f t="shared" si="2"/>
        <v>3230000</v>
      </c>
      <c r="G116" s="175">
        <f t="shared" si="2"/>
        <v>3035000</v>
      </c>
      <c r="H116" s="175">
        <f t="shared" si="2"/>
        <v>3328000</v>
      </c>
      <c r="I116" s="175">
        <f t="shared" si="2"/>
        <v>2970000</v>
      </c>
      <c r="J116" s="175">
        <f t="shared" si="2"/>
        <v>3892000</v>
      </c>
      <c r="K116" s="175">
        <f t="shared" si="2"/>
        <v>4100000</v>
      </c>
      <c r="L116" s="175">
        <f t="shared" si="2"/>
        <v>3027000</v>
      </c>
      <c r="M116" s="175">
        <f t="shared" si="2"/>
        <v>2150000</v>
      </c>
      <c r="N116" s="72">
        <f>SUM(B116:M116)</f>
        <v>38682700</v>
      </c>
      <c r="O116" s="72">
        <f>N116/12</f>
        <v>3223558.333</v>
      </c>
      <c r="P116" s="113" t="s">
        <v>535</v>
      </c>
      <c r="Q116" s="119">
        <v>45527.0</v>
      </c>
      <c r="R116" s="120">
        <v>380000.0</v>
      </c>
      <c r="S116" s="114"/>
      <c r="T116" s="112"/>
      <c r="U116" s="112"/>
      <c r="V116" s="112"/>
      <c r="W116" s="112"/>
      <c r="X116" s="31" t="s">
        <v>496</v>
      </c>
      <c r="Y116" s="168">
        <v>45590.0</v>
      </c>
      <c r="Z116" s="126">
        <v>300000.0</v>
      </c>
      <c r="AA116" s="117"/>
      <c r="AL116" s="144"/>
      <c r="AM116" s="144"/>
      <c r="AN116" s="144"/>
      <c r="AO116" s="144"/>
      <c r="AP116" s="144"/>
      <c r="AQ116" s="144"/>
      <c r="AR116" s="144"/>
      <c r="AS116" s="144"/>
    </row>
    <row r="117"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P117" s="113" t="s">
        <v>419</v>
      </c>
      <c r="Q117" s="119">
        <v>45538.0</v>
      </c>
      <c r="R117" s="120">
        <v>320000.0</v>
      </c>
      <c r="S117" s="114"/>
      <c r="T117" s="67" t="s">
        <v>536</v>
      </c>
      <c r="U117" s="112"/>
      <c r="V117" s="139">
        <f>SUM(V72:V115)</f>
        <v>13175000</v>
      </c>
      <c r="W117" s="112"/>
      <c r="X117" s="31" t="s">
        <v>411</v>
      </c>
      <c r="Y117" s="168">
        <v>45593.0</v>
      </c>
      <c r="Z117" s="126">
        <v>380000.0</v>
      </c>
      <c r="AA117" s="117"/>
      <c r="AL117" s="144"/>
      <c r="AM117" s="144"/>
      <c r="AN117" s="144"/>
      <c r="AO117" s="144"/>
      <c r="AP117" s="144"/>
      <c r="AQ117" s="144"/>
      <c r="AR117" s="144"/>
      <c r="AS117" s="144"/>
    </row>
    <row r="118">
      <c r="A118" s="15" t="s">
        <v>22</v>
      </c>
      <c r="B118" s="101">
        <f t="shared" ref="B118:M118" si="3">B109-B116</f>
        <v>29325500</v>
      </c>
      <c r="C118" s="101">
        <f t="shared" si="3"/>
        <v>19340000</v>
      </c>
      <c r="D118" s="101">
        <f t="shared" si="3"/>
        <v>16352300</v>
      </c>
      <c r="E118" s="101">
        <f t="shared" si="3"/>
        <v>20594000</v>
      </c>
      <c r="F118" s="101">
        <f t="shared" si="3"/>
        <v>17967000</v>
      </c>
      <c r="G118" s="101">
        <f t="shared" si="3"/>
        <v>18940000</v>
      </c>
      <c r="H118" s="101">
        <f t="shared" si="3"/>
        <v>24451000</v>
      </c>
      <c r="I118" s="101">
        <f t="shared" si="3"/>
        <v>21075000</v>
      </c>
      <c r="J118" s="101">
        <f t="shared" si="3"/>
        <v>20842000</v>
      </c>
      <c r="K118" s="101">
        <f t="shared" si="3"/>
        <v>21690000</v>
      </c>
      <c r="L118" s="101">
        <f t="shared" si="3"/>
        <v>20178000</v>
      </c>
      <c r="M118" s="101">
        <f t="shared" si="3"/>
        <v>19920000</v>
      </c>
      <c r="P118" s="114"/>
      <c r="Q118" s="114"/>
      <c r="R118" s="141"/>
      <c r="S118" s="114"/>
      <c r="T118" s="67" t="s">
        <v>452</v>
      </c>
      <c r="U118" s="112"/>
      <c r="V118" s="111">
        <v>3380000.0</v>
      </c>
      <c r="W118" s="112"/>
      <c r="X118" s="31" t="s">
        <v>397</v>
      </c>
      <c r="Y118" s="125">
        <v>45601.0</v>
      </c>
      <c r="Z118" s="126">
        <v>500000.0</v>
      </c>
      <c r="AA118" s="117"/>
      <c r="AL118" s="144"/>
      <c r="AM118" s="144"/>
      <c r="AN118" s="144"/>
      <c r="AO118" s="144"/>
      <c r="AP118" s="144"/>
      <c r="AQ118" s="144"/>
      <c r="AR118" s="144"/>
      <c r="AS118" s="144"/>
    </row>
    <row r="119">
      <c r="A119" s="17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P119" s="114"/>
      <c r="Q119" s="114"/>
      <c r="R119" s="141"/>
      <c r="S119" s="114"/>
      <c r="T119" s="67" t="s">
        <v>537</v>
      </c>
      <c r="U119" s="112"/>
      <c r="V119" s="111">
        <v>300000.0</v>
      </c>
      <c r="W119" s="112"/>
      <c r="X119" s="31" t="s">
        <v>414</v>
      </c>
      <c r="Y119" s="125">
        <v>45601.0</v>
      </c>
      <c r="Z119" s="126">
        <v>320000.0</v>
      </c>
      <c r="AA119" s="117"/>
      <c r="AL119" s="144"/>
      <c r="AM119" s="144"/>
      <c r="AN119" s="144"/>
      <c r="AO119" s="144"/>
      <c r="AP119" s="144"/>
      <c r="AQ119" s="144"/>
      <c r="AR119" s="144"/>
      <c r="AS119" s="144"/>
    </row>
    <row r="120">
      <c r="B120" s="176" t="s">
        <v>162</v>
      </c>
      <c r="C120" s="176" t="s">
        <v>31</v>
      </c>
      <c r="D120" s="176" t="s">
        <v>32</v>
      </c>
      <c r="E120" s="176" t="s">
        <v>33</v>
      </c>
      <c r="F120" s="176" t="s">
        <v>34</v>
      </c>
      <c r="G120" s="176" t="s">
        <v>35</v>
      </c>
      <c r="H120" s="176" t="s">
        <v>36</v>
      </c>
      <c r="I120" s="176" t="s">
        <v>2</v>
      </c>
      <c r="J120" s="176" t="s">
        <v>3</v>
      </c>
      <c r="K120" s="176" t="s">
        <v>4</v>
      </c>
      <c r="L120" s="176" t="s">
        <v>5</v>
      </c>
      <c r="M120" s="176" t="s">
        <v>6</v>
      </c>
      <c r="P120" s="114"/>
      <c r="Q120" s="114"/>
      <c r="R120" s="141"/>
      <c r="S120" s="114"/>
      <c r="T120" s="112"/>
      <c r="U120" s="112"/>
      <c r="V120" s="139"/>
      <c r="W120" s="112"/>
      <c r="X120" s="117"/>
      <c r="Y120" s="117"/>
      <c r="Z120" s="104"/>
      <c r="AA120" s="117"/>
      <c r="AL120" s="144"/>
      <c r="AM120" s="144"/>
      <c r="AN120" s="144"/>
      <c r="AO120" s="144"/>
      <c r="AP120" s="144"/>
      <c r="AQ120" s="144"/>
      <c r="AR120" s="144"/>
      <c r="AS120" s="144"/>
    </row>
    <row r="121">
      <c r="A121" s="12" t="s">
        <v>538</v>
      </c>
      <c r="B121" s="100"/>
      <c r="C121" s="100"/>
      <c r="D121" s="94">
        <v>300000.0</v>
      </c>
      <c r="E121" s="100"/>
      <c r="F121" s="94">
        <v>250000.0</v>
      </c>
      <c r="G121" s="94">
        <v>300000.0</v>
      </c>
      <c r="H121" s="100"/>
      <c r="I121" s="100"/>
      <c r="J121" s="100"/>
      <c r="K121" s="100"/>
      <c r="L121" s="100"/>
      <c r="M121" s="100"/>
      <c r="P121" s="114"/>
      <c r="Q121" s="114"/>
      <c r="R121" s="141">
        <f>SUM(R73:R120)</f>
        <v>13130000</v>
      </c>
      <c r="S121" s="114"/>
      <c r="T121" s="67" t="s">
        <v>539</v>
      </c>
      <c r="U121" s="112"/>
      <c r="V121" s="139">
        <f>V117-V118-V119</f>
        <v>9495000</v>
      </c>
      <c r="W121" s="112"/>
      <c r="X121" s="31" t="s">
        <v>540</v>
      </c>
      <c r="Y121" s="117"/>
      <c r="Z121" s="104">
        <f>SUM(Z73:Z119)</f>
        <v>15740000</v>
      </c>
      <c r="AA121" s="117"/>
      <c r="AL121" s="144"/>
      <c r="AM121" s="144"/>
      <c r="AN121" s="144"/>
      <c r="AO121" s="144"/>
      <c r="AP121" s="144"/>
      <c r="AQ121" s="144"/>
      <c r="AR121" s="144"/>
      <c r="AS121" s="144"/>
    </row>
    <row r="122">
      <c r="A122" s="62" t="s">
        <v>541</v>
      </c>
      <c r="B122" s="100"/>
      <c r="C122" s="100"/>
      <c r="D122" s="83"/>
      <c r="E122" s="100"/>
      <c r="F122" s="83"/>
      <c r="G122" s="83"/>
      <c r="H122" s="100"/>
      <c r="I122" s="94">
        <v>300000.0</v>
      </c>
      <c r="J122" s="94">
        <v>300000.0</v>
      </c>
      <c r="K122" s="94">
        <v>300000.0</v>
      </c>
      <c r="L122" s="94">
        <v>300000.0</v>
      </c>
      <c r="M122" s="94">
        <v>300000.0</v>
      </c>
      <c r="P122" s="113" t="s">
        <v>422</v>
      </c>
      <c r="Q122" s="114"/>
      <c r="R122" s="120">
        <v>2730000.0</v>
      </c>
      <c r="S122" s="114"/>
      <c r="T122" s="67" t="s">
        <v>542</v>
      </c>
      <c r="U122" s="112"/>
      <c r="V122" s="139">
        <f>V121-J138</f>
        <v>189000</v>
      </c>
      <c r="W122" s="112"/>
      <c r="X122" s="31" t="s">
        <v>442</v>
      </c>
      <c r="Y122" s="117"/>
      <c r="Z122" s="126">
        <v>3382000.0</v>
      </c>
      <c r="AA122" s="117"/>
      <c r="AL122" s="144"/>
      <c r="AM122" s="144"/>
      <c r="AN122" s="144"/>
      <c r="AO122" s="144"/>
      <c r="AP122" s="144"/>
      <c r="AQ122" s="144"/>
      <c r="AR122" s="144"/>
      <c r="AS122" s="144"/>
    </row>
    <row r="123">
      <c r="A123" s="12" t="s">
        <v>543</v>
      </c>
      <c r="B123" s="100"/>
      <c r="C123" s="100"/>
      <c r="D123" s="83"/>
      <c r="E123" s="100"/>
      <c r="F123" s="83"/>
      <c r="G123" s="83"/>
      <c r="H123" s="100"/>
      <c r="I123" s="83"/>
      <c r="J123" s="94">
        <v>300000.0</v>
      </c>
      <c r="K123" s="100"/>
      <c r="L123" s="100"/>
      <c r="M123" s="100"/>
      <c r="P123" s="177" t="s">
        <v>544</v>
      </c>
      <c r="Q123" s="178"/>
      <c r="R123" s="120">
        <v>300000.0</v>
      </c>
      <c r="S123" s="114"/>
      <c r="X123" s="31" t="s">
        <v>545</v>
      </c>
      <c r="Y123" s="117"/>
      <c r="Z123" s="126">
        <v>300000.0</v>
      </c>
      <c r="AA123" s="117"/>
      <c r="AL123" s="144"/>
      <c r="AM123" s="144"/>
      <c r="AN123" s="144"/>
      <c r="AO123" s="144"/>
      <c r="AP123" s="144"/>
      <c r="AQ123" s="144"/>
      <c r="AR123" s="144"/>
      <c r="AS123" s="144"/>
    </row>
    <row r="124">
      <c r="A124" s="62" t="s">
        <v>195</v>
      </c>
      <c r="B124" s="100"/>
      <c r="C124" s="94">
        <v>250000.0</v>
      </c>
      <c r="D124" s="94">
        <v>250000.0</v>
      </c>
      <c r="E124" s="94">
        <v>250000.0</v>
      </c>
      <c r="F124" s="94">
        <v>250000.0</v>
      </c>
      <c r="G124" s="94">
        <v>250000.0</v>
      </c>
      <c r="H124" s="94">
        <v>250000.0</v>
      </c>
      <c r="I124" s="94">
        <v>250000.0</v>
      </c>
      <c r="J124" s="94">
        <v>250000.0</v>
      </c>
      <c r="K124" s="94">
        <v>250000.0</v>
      </c>
      <c r="L124" s="94">
        <v>250000.0</v>
      </c>
      <c r="M124" s="83"/>
      <c r="P124" s="177" t="s">
        <v>429</v>
      </c>
      <c r="Q124" s="114"/>
      <c r="R124" s="120">
        <v>415000.0</v>
      </c>
      <c r="S124" s="114"/>
      <c r="T124" s="17" t="s">
        <v>546</v>
      </c>
      <c r="U124" s="17" t="s">
        <v>547</v>
      </c>
      <c r="V124" s="45">
        <v>3380000.0</v>
      </c>
      <c r="X124" s="179" t="s">
        <v>548</v>
      </c>
      <c r="Y124" s="31"/>
      <c r="Z124" s="126">
        <v>377000.0</v>
      </c>
      <c r="AA124" s="117"/>
      <c r="AL124" s="144"/>
      <c r="AM124" s="144"/>
      <c r="AN124" s="144"/>
      <c r="AO124" s="144"/>
      <c r="AP124" s="144"/>
      <c r="AQ124" s="144"/>
      <c r="AR124" s="144"/>
      <c r="AS124" s="144"/>
    </row>
    <row r="125">
      <c r="A125" s="12" t="s">
        <v>549</v>
      </c>
      <c r="B125" s="100"/>
      <c r="C125" s="83"/>
      <c r="D125" s="83"/>
      <c r="E125" s="83"/>
      <c r="F125" s="83"/>
      <c r="G125" s="83"/>
      <c r="H125" s="83"/>
      <c r="I125" s="83"/>
      <c r="J125" s="94">
        <v>300000.0</v>
      </c>
      <c r="K125" s="94">
        <v>300000.0</v>
      </c>
      <c r="L125" s="100"/>
      <c r="M125" s="100"/>
      <c r="P125" s="180"/>
      <c r="Q125" s="113"/>
      <c r="R125" s="114"/>
      <c r="S125" s="114"/>
      <c r="U125" s="17" t="s">
        <v>550</v>
      </c>
      <c r="V125" s="72">
        <f>V124/30</f>
        <v>112666.6667</v>
      </c>
      <c r="X125" s="181"/>
      <c r="Y125" s="31"/>
      <c r="Z125" s="104">
        <f>Z121-Z122-Z123-Z124</f>
        <v>11681000</v>
      </c>
      <c r="AA125" s="104">
        <f>Z125-K138</f>
        <v>283000</v>
      </c>
      <c r="AL125" s="144"/>
      <c r="AM125" s="144"/>
      <c r="AN125" s="144"/>
      <c r="AO125" s="144"/>
      <c r="AP125" s="144"/>
      <c r="AQ125" s="144"/>
      <c r="AR125" s="144"/>
      <c r="AS125" s="144"/>
    </row>
    <row r="126">
      <c r="A126" s="12" t="s">
        <v>441</v>
      </c>
      <c r="B126" s="100"/>
      <c r="C126" s="94">
        <v>300000.0</v>
      </c>
      <c r="D126" s="94">
        <v>300000.0</v>
      </c>
      <c r="E126" s="94">
        <v>300000.0</v>
      </c>
      <c r="F126" s="94">
        <v>300000.0</v>
      </c>
      <c r="G126" s="94">
        <v>300000.0</v>
      </c>
      <c r="H126" s="94">
        <v>300000.0</v>
      </c>
      <c r="I126" s="94">
        <v>300000.0</v>
      </c>
      <c r="J126" s="94">
        <v>300000.0</v>
      </c>
      <c r="K126" s="100"/>
      <c r="L126" s="100"/>
      <c r="M126" s="100"/>
      <c r="P126" s="180"/>
      <c r="Q126" s="114"/>
      <c r="R126" s="141">
        <f>R121-R122-R123-R124</f>
        <v>9685000</v>
      </c>
      <c r="S126" s="114"/>
      <c r="AL126" s="144"/>
      <c r="AM126" s="144"/>
      <c r="AN126" s="144"/>
      <c r="AO126" s="144"/>
      <c r="AP126" s="144"/>
      <c r="AQ126" s="144"/>
      <c r="AR126" s="144"/>
      <c r="AS126" s="144"/>
    </row>
    <row r="127">
      <c r="A127" s="12" t="s">
        <v>551</v>
      </c>
      <c r="B127" s="100"/>
      <c r="C127" s="94">
        <v>300000.0</v>
      </c>
      <c r="D127" s="94">
        <v>300000.0</v>
      </c>
      <c r="E127" s="94">
        <v>300000.0</v>
      </c>
      <c r="F127" s="94">
        <v>300000.0</v>
      </c>
      <c r="G127" s="100"/>
      <c r="H127" s="100"/>
      <c r="I127" s="100"/>
      <c r="J127" s="100"/>
      <c r="K127" s="100"/>
      <c r="L127" s="100"/>
      <c r="M127" s="100"/>
      <c r="AL127" s="144"/>
      <c r="AM127" s="144"/>
      <c r="AN127" s="144"/>
      <c r="AO127" s="144"/>
      <c r="AP127" s="144"/>
      <c r="AQ127" s="144"/>
      <c r="AR127" s="144"/>
      <c r="AS127" s="144"/>
    </row>
    <row r="128">
      <c r="A128" s="12" t="s">
        <v>552</v>
      </c>
      <c r="B128" s="100"/>
      <c r="C128" s="83"/>
      <c r="D128" s="83"/>
      <c r="E128" s="83"/>
      <c r="F128" s="83"/>
      <c r="G128" s="100"/>
      <c r="H128" s="100"/>
      <c r="I128" s="100"/>
      <c r="J128" s="100"/>
      <c r="K128" s="94">
        <v>60000.0</v>
      </c>
      <c r="L128" s="94">
        <v>150000.0</v>
      </c>
      <c r="M128" s="94">
        <v>75000.0</v>
      </c>
      <c r="O128" s="17" t="s">
        <v>553</v>
      </c>
      <c r="AL128" s="144"/>
      <c r="AM128" s="144"/>
      <c r="AN128" s="144"/>
      <c r="AO128" s="144"/>
      <c r="AP128" s="144"/>
      <c r="AQ128" s="144"/>
      <c r="AR128" s="144"/>
      <c r="AS128" s="144"/>
    </row>
    <row r="129" ht="22.5" customHeight="1">
      <c r="A129" s="4" t="s">
        <v>554</v>
      </c>
      <c r="B129" s="100">
        <f t="shared" ref="B129:C129" si="4">SUM(B124:B127)*70%</f>
        <v>0</v>
      </c>
      <c r="C129" s="182">
        <f t="shared" si="4"/>
        <v>595000</v>
      </c>
      <c r="D129" s="182">
        <f>SUM(D121:D127)*70%</f>
        <v>805000</v>
      </c>
      <c r="E129" s="182">
        <f>SUM(E124:E127)*70%</f>
        <v>595000</v>
      </c>
      <c r="F129" s="182">
        <f t="shared" ref="F129:J129" si="5">SUM(F121:F127)*70%</f>
        <v>770000</v>
      </c>
      <c r="G129" s="182">
        <f t="shared" si="5"/>
        <v>595000</v>
      </c>
      <c r="H129" s="182">
        <f t="shared" si="5"/>
        <v>385000</v>
      </c>
      <c r="I129" s="182">
        <f t="shared" si="5"/>
        <v>595000</v>
      </c>
      <c r="J129" s="182">
        <f t="shared" si="5"/>
        <v>1015000</v>
      </c>
      <c r="K129" s="182">
        <f t="shared" ref="K129:M129" si="6">SUM(K121:K128)*70%</f>
        <v>637000</v>
      </c>
      <c r="L129" s="182">
        <f t="shared" si="6"/>
        <v>490000</v>
      </c>
      <c r="M129" s="182">
        <f t="shared" si="6"/>
        <v>262500</v>
      </c>
      <c r="N129" s="72">
        <f>SUM(C129:M129)</f>
        <v>6744500</v>
      </c>
      <c r="O129" s="72">
        <f>N128:N129/11</f>
        <v>613136.3636</v>
      </c>
      <c r="S129" s="183" t="s">
        <v>285</v>
      </c>
      <c r="T129" s="184" t="s">
        <v>555</v>
      </c>
      <c r="U129" s="183" t="s">
        <v>286</v>
      </c>
      <c r="V129" s="183" t="s">
        <v>556</v>
      </c>
      <c r="X129" s="17" t="s">
        <v>557</v>
      </c>
      <c r="AL129" s="144"/>
      <c r="AM129" s="144"/>
      <c r="AN129" s="144"/>
      <c r="AO129" s="144"/>
      <c r="AP129" s="144"/>
      <c r="AQ129" s="144"/>
      <c r="AR129" s="144"/>
      <c r="AS129" s="144"/>
    </row>
    <row r="130" ht="22.5" customHeight="1">
      <c r="A130" s="54" t="s">
        <v>558</v>
      </c>
      <c r="B130" s="185">
        <v>0.0</v>
      </c>
      <c r="C130" s="185">
        <v>168000.0</v>
      </c>
      <c r="D130" s="185">
        <v>173000.0</v>
      </c>
      <c r="E130" s="185">
        <v>216000.0</v>
      </c>
      <c r="F130" s="185">
        <v>260000.0</v>
      </c>
      <c r="G130" s="185">
        <v>260000.0</v>
      </c>
      <c r="H130" s="185">
        <v>228000.0</v>
      </c>
      <c r="I130" s="185">
        <v>260000.0</v>
      </c>
      <c r="J130" s="185">
        <v>260000.0</v>
      </c>
      <c r="K130" s="185">
        <v>260000.0</v>
      </c>
      <c r="L130" s="185">
        <v>162500.0</v>
      </c>
      <c r="M130" s="185">
        <v>0.0</v>
      </c>
      <c r="N130" s="72">
        <f>SUM(B130:M130)</f>
        <v>2247500</v>
      </c>
      <c r="O130" s="72">
        <f>N130/11</f>
        <v>204318.1818</v>
      </c>
      <c r="S130" s="186" t="s">
        <v>559</v>
      </c>
      <c r="T130" s="187">
        <v>45589.0</v>
      </c>
      <c r="U130" s="188">
        <v>320000.0</v>
      </c>
      <c r="V130" s="189"/>
      <c r="X130" s="17" t="s">
        <v>359</v>
      </c>
      <c r="Y130" s="190">
        <v>45618.0</v>
      </c>
      <c r="Z130" s="45">
        <v>250000.0</v>
      </c>
      <c r="AA130" s="17" t="s">
        <v>560</v>
      </c>
      <c r="AL130" s="144"/>
      <c r="AM130" s="144"/>
      <c r="AN130" s="144"/>
      <c r="AO130" s="144"/>
      <c r="AP130" s="144"/>
      <c r="AQ130" s="144"/>
      <c r="AR130" s="144"/>
      <c r="AS130" s="144"/>
    </row>
    <row r="131" ht="22.5" customHeight="1">
      <c r="A131" s="38" t="s">
        <v>561</v>
      </c>
      <c r="B131" s="100"/>
      <c r="C131" s="85">
        <v>160000.0</v>
      </c>
      <c r="D131" s="85">
        <v>160000.0</v>
      </c>
      <c r="E131" s="85">
        <v>160000.0</v>
      </c>
      <c r="F131" s="85">
        <v>160000.0</v>
      </c>
      <c r="G131" s="85">
        <v>160000.0</v>
      </c>
      <c r="H131" s="85">
        <v>160000.0</v>
      </c>
      <c r="I131" s="85">
        <v>80000.0</v>
      </c>
      <c r="J131" s="85">
        <v>0.0</v>
      </c>
      <c r="K131" s="85">
        <v>0.0</v>
      </c>
      <c r="L131" s="85">
        <v>0.0</v>
      </c>
      <c r="M131" s="85">
        <v>0.0</v>
      </c>
      <c r="S131" s="186" t="s">
        <v>492</v>
      </c>
      <c r="T131" s="187">
        <v>45590.0</v>
      </c>
      <c r="U131" s="188">
        <v>450000.0</v>
      </c>
      <c r="V131" s="189"/>
      <c r="X131" s="45" t="s">
        <v>497</v>
      </c>
      <c r="Y131" s="191">
        <v>45625.0</v>
      </c>
      <c r="Z131" s="45">
        <v>300000.0</v>
      </c>
      <c r="AL131" s="144"/>
      <c r="AM131" s="144"/>
      <c r="AN131" s="144"/>
      <c r="AO131" s="144"/>
      <c r="AP131" s="144"/>
      <c r="AQ131" s="144"/>
      <c r="AR131" s="144"/>
      <c r="AS131" s="144"/>
    </row>
    <row r="132" ht="22.5" customHeight="1">
      <c r="A132" s="15" t="s">
        <v>562</v>
      </c>
      <c r="B132" s="100"/>
      <c r="C132" s="82">
        <f t="shared" ref="C132:M132" si="7">C129+C131-C130</f>
        <v>587000</v>
      </c>
      <c r="D132" s="82">
        <f t="shared" si="7"/>
        <v>792000</v>
      </c>
      <c r="E132" s="82">
        <f t="shared" si="7"/>
        <v>539000</v>
      </c>
      <c r="F132" s="82">
        <f t="shared" si="7"/>
        <v>670000</v>
      </c>
      <c r="G132" s="82">
        <f t="shared" si="7"/>
        <v>495000</v>
      </c>
      <c r="H132" s="82">
        <f t="shared" si="7"/>
        <v>317000</v>
      </c>
      <c r="I132" s="82">
        <f t="shared" si="7"/>
        <v>415000</v>
      </c>
      <c r="J132" s="82">
        <f t="shared" si="7"/>
        <v>755000</v>
      </c>
      <c r="K132" s="82">
        <f t="shared" si="7"/>
        <v>377000</v>
      </c>
      <c r="L132" s="82">
        <f t="shared" si="7"/>
        <v>327500</v>
      </c>
      <c r="M132" s="82">
        <f t="shared" si="7"/>
        <v>262500</v>
      </c>
      <c r="N132" s="182">
        <f>SUM(B132:L132)</f>
        <v>5274500</v>
      </c>
      <c r="O132" s="72">
        <f>N132/10</f>
        <v>527450</v>
      </c>
      <c r="S132" s="186" t="s">
        <v>289</v>
      </c>
      <c r="T132" s="187">
        <v>45594.0</v>
      </c>
      <c r="U132" s="188">
        <v>250000.0</v>
      </c>
      <c r="V132" s="189"/>
      <c r="X132" s="45" t="s">
        <v>301</v>
      </c>
      <c r="Y132" s="191">
        <v>45628.0</v>
      </c>
      <c r="Z132" s="45">
        <v>250000.0</v>
      </c>
      <c r="AL132" s="144"/>
      <c r="AM132" s="144"/>
      <c r="AN132" s="144"/>
      <c r="AO132" s="144"/>
      <c r="AP132" s="144"/>
      <c r="AQ132" s="144"/>
      <c r="AR132" s="144"/>
      <c r="AS132" s="144"/>
    </row>
    <row r="133" ht="22.5" customHeight="1">
      <c r="A133" s="17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S133" s="186" t="s">
        <v>497</v>
      </c>
      <c r="T133" s="187">
        <v>45594.0</v>
      </c>
      <c r="U133" s="188">
        <v>300000.0</v>
      </c>
      <c r="V133" s="189"/>
      <c r="X133" s="45" t="s">
        <v>563</v>
      </c>
      <c r="Y133" s="44">
        <v>45627.0</v>
      </c>
      <c r="Z133" s="45">
        <v>250000.0</v>
      </c>
      <c r="AL133" s="144"/>
      <c r="AM133" s="144"/>
      <c r="AN133" s="144"/>
      <c r="AO133" s="144"/>
      <c r="AP133" s="144"/>
      <c r="AQ133" s="144"/>
      <c r="AR133" s="144"/>
      <c r="AS133" s="144"/>
    </row>
    <row r="134" ht="22.5" customHeight="1">
      <c r="A134" s="17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17" t="s">
        <v>564</v>
      </c>
      <c r="O134" s="17" t="s">
        <v>565</v>
      </c>
      <c r="S134" s="186" t="s">
        <v>566</v>
      </c>
      <c r="T134" s="187">
        <v>45595.0</v>
      </c>
      <c r="U134" s="188">
        <v>250000.0</v>
      </c>
      <c r="V134" s="189"/>
      <c r="X134" s="45" t="s">
        <v>351</v>
      </c>
      <c r="Y134" s="44">
        <v>45628.0</v>
      </c>
      <c r="Z134" s="45">
        <v>310000.0</v>
      </c>
      <c r="AL134" s="144"/>
      <c r="AM134" s="144"/>
      <c r="AN134" s="144"/>
      <c r="AO134" s="144"/>
      <c r="AP134" s="144"/>
      <c r="AQ134" s="144"/>
      <c r="AR134" s="144"/>
      <c r="AS134" s="144"/>
    </row>
    <row r="135" ht="22.5" customHeight="1">
      <c r="A135" s="9" t="s">
        <v>567</v>
      </c>
      <c r="B135" s="182">
        <f t="shared" ref="B135:M135" si="8">SUM(B5:B67)*80%</f>
        <v>12606800</v>
      </c>
      <c r="C135" s="182">
        <f t="shared" si="8"/>
        <v>8880000</v>
      </c>
      <c r="D135" s="182">
        <f t="shared" si="8"/>
        <v>7872000</v>
      </c>
      <c r="E135" s="182">
        <f t="shared" si="8"/>
        <v>8184000</v>
      </c>
      <c r="F135" s="182">
        <f t="shared" si="8"/>
        <v>8476000</v>
      </c>
      <c r="G135" s="182">
        <f t="shared" si="8"/>
        <v>10156000</v>
      </c>
      <c r="H135" s="182">
        <f t="shared" si="8"/>
        <v>14131200</v>
      </c>
      <c r="I135" s="182">
        <f t="shared" si="8"/>
        <v>11164000</v>
      </c>
      <c r="J135" s="182">
        <f t="shared" si="8"/>
        <v>11252000</v>
      </c>
      <c r="K135" s="182">
        <f t="shared" si="8"/>
        <v>13448000</v>
      </c>
      <c r="L135" s="182">
        <f t="shared" si="8"/>
        <v>12268000</v>
      </c>
      <c r="M135" s="182">
        <f t="shared" si="8"/>
        <v>10840000</v>
      </c>
      <c r="N135" s="72">
        <f>SUM(B135:M135)</f>
        <v>129278000</v>
      </c>
      <c r="O135" s="72">
        <f>N135/12</f>
        <v>10773166.67</v>
      </c>
      <c r="S135" s="186" t="s">
        <v>333</v>
      </c>
      <c r="T135" s="192" t="s">
        <v>568</v>
      </c>
      <c r="U135" s="188">
        <v>450000.0</v>
      </c>
      <c r="V135" s="189"/>
      <c r="X135" s="45" t="s">
        <v>569</v>
      </c>
      <c r="Y135" s="191">
        <v>45648.0</v>
      </c>
      <c r="Z135" s="45">
        <v>320000.0</v>
      </c>
      <c r="AL135" s="144"/>
      <c r="AM135" s="144"/>
      <c r="AN135" s="144"/>
      <c r="AO135" s="144"/>
      <c r="AP135" s="144"/>
      <c r="AQ135" s="144"/>
      <c r="AR135" s="144"/>
      <c r="AS135" s="144"/>
    </row>
    <row r="136" ht="22.5" customHeight="1">
      <c r="A136" s="38" t="s">
        <v>570</v>
      </c>
      <c r="B136" s="85">
        <v>240000.0</v>
      </c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72"/>
      <c r="S136" s="186" t="s">
        <v>571</v>
      </c>
      <c r="T136" s="192" t="s">
        <v>568</v>
      </c>
      <c r="U136" s="188">
        <v>250000.0</v>
      </c>
      <c r="V136" s="189"/>
      <c r="X136" s="45" t="s">
        <v>572</v>
      </c>
      <c r="Y136" s="44">
        <v>45629.0</v>
      </c>
      <c r="Z136" s="45">
        <v>320000.0</v>
      </c>
      <c r="AL136" s="144"/>
      <c r="AM136" s="144"/>
      <c r="AN136" s="144"/>
      <c r="AO136" s="144"/>
      <c r="AP136" s="144"/>
      <c r="AQ136" s="144"/>
      <c r="AR136" s="144"/>
      <c r="AS136" s="144"/>
    </row>
    <row r="137" ht="22.5" customHeight="1">
      <c r="A137" s="174" t="s">
        <v>25</v>
      </c>
      <c r="B137" s="182">
        <f t="shared" ref="B137:M137" si="9">B116*50%</f>
        <v>1130000</v>
      </c>
      <c r="C137" s="182">
        <f t="shared" si="9"/>
        <v>1913000</v>
      </c>
      <c r="D137" s="182">
        <f t="shared" si="9"/>
        <v>1730850</v>
      </c>
      <c r="E137" s="182">
        <f t="shared" si="9"/>
        <v>1701500</v>
      </c>
      <c r="F137" s="182">
        <f t="shared" si="9"/>
        <v>1615000</v>
      </c>
      <c r="G137" s="182">
        <f t="shared" si="9"/>
        <v>1517500</v>
      </c>
      <c r="H137" s="182">
        <f t="shared" si="9"/>
        <v>1664000</v>
      </c>
      <c r="I137" s="182">
        <f t="shared" si="9"/>
        <v>1485000</v>
      </c>
      <c r="J137" s="182">
        <f t="shared" si="9"/>
        <v>1946000</v>
      </c>
      <c r="K137" s="182">
        <f t="shared" si="9"/>
        <v>2050000</v>
      </c>
      <c r="L137" s="182">
        <f t="shared" si="9"/>
        <v>1513500</v>
      </c>
      <c r="M137" s="182">
        <f t="shared" si="9"/>
        <v>1075000</v>
      </c>
      <c r="N137" s="72">
        <f t="shared" ref="N137:N138" si="11">SUM(B137:M137)</f>
        <v>19341350</v>
      </c>
      <c r="O137" s="72">
        <f t="shared" ref="O137:O138" si="12">N137/12</f>
        <v>1611779.167</v>
      </c>
      <c r="S137" s="186" t="s">
        <v>573</v>
      </c>
      <c r="T137" s="192" t="s">
        <v>568</v>
      </c>
      <c r="U137" s="188">
        <v>250000.0</v>
      </c>
      <c r="V137" s="186" t="s">
        <v>560</v>
      </c>
      <c r="X137" s="45" t="s">
        <v>306</v>
      </c>
      <c r="Y137" s="44">
        <v>45629.0</v>
      </c>
      <c r="Z137" s="45">
        <v>420000.0</v>
      </c>
      <c r="AL137" s="144"/>
      <c r="AM137" s="144"/>
      <c r="AN137" s="144"/>
      <c r="AO137" s="144"/>
      <c r="AP137" s="144"/>
      <c r="AQ137" s="144"/>
      <c r="AR137" s="144"/>
      <c r="AS137" s="144"/>
    </row>
    <row r="138" ht="22.5" customHeight="1">
      <c r="A138" s="4" t="s">
        <v>100</v>
      </c>
      <c r="B138" s="101">
        <f>B135+B136-B137</f>
        <v>11716800</v>
      </c>
      <c r="C138" s="101">
        <f>C135-C137</f>
        <v>6967000</v>
      </c>
      <c r="D138" s="101">
        <f t="shared" ref="D138:M138" si="10">D135+D136-D137</f>
        <v>6141150</v>
      </c>
      <c r="E138" s="101">
        <f t="shared" si="10"/>
        <v>6482500</v>
      </c>
      <c r="F138" s="101">
        <f t="shared" si="10"/>
        <v>6861000</v>
      </c>
      <c r="G138" s="101">
        <f t="shared" si="10"/>
        <v>8638500</v>
      </c>
      <c r="H138" s="101">
        <f t="shared" si="10"/>
        <v>12467200</v>
      </c>
      <c r="I138" s="101">
        <f t="shared" si="10"/>
        <v>9679000</v>
      </c>
      <c r="J138" s="101">
        <f t="shared" si="10"/>
        <v>9306000</v>
      </c>
      <c r="K138" s="101">
        <f t="shared" si="10"/>
        <v>11398000</v>
      </c>
      <c r="L138" s="101">
        <f t="shared" si="10"/>
        <v>10754500</v>
      </c>
      <c r="M138" s="101">
        <f t="shared" si="10"/>
        <v>9765000</v>
      </c>
      <c r="N138" s="72">
        <f t="shared" si="11"/>
        <v>110176650</v>
      </c>
      <c r="O138" s="72">
        <f t="shared" si="12"/>
        <v>9181387.5</v>
      </c>
      <c r="S138" s="186" t="s">
        <v>318</v>
      </c>
      <c r="T138" s="192" t="s">
        <v>568</v>
      </c>
      <c r="U138" s="188">
        <v>250000.0</v>
      </c>
      <c r="V138" s="189"/>
      <c r="X138" s="45" t="s">
        <v>499</v>
      </c>
      <c r="Y138" s="44">
        <v>45630.0</v>
      </c>
      <c r="Z138" s="45">
        <v>320000.0</v>
      </c>
      <c r="AL138" s="144"/>
      <c r="AM138" s="144"/>
      <c r="AN138" s="144"/>
      <c r="AO138" s="144"/>
      <c r="AP138" s="144"/>
      <c r="AQ138" s="144"/>
      <c r="AR138" s="144"/>
      <c r="AS138" s="144"/>
    </row>
    <row r="139" ht="22.5" customHeight="1">
      <c r="B139" s="72"/>
      <c r="C139" s="72"/>
      <c r="D139" s="72"/>
      <c r="E139" s="72"/>
      <c r="F139" s="72"/>
      <c r="G139" s="72"/>
      <c r="H139" s="72"/>
      <c r="I139" s="72"/>
      <c r="J139" s="72"/>
      <c r="K139" s="193"/>
      <c r="M139" s="104">
        <f>M138+M132</f>
        <v>10027500</v>
      </c>
      <c r="S139" s="186" t="s">
        <v>331</v>
      </c>
      <c r="T139" s="194">
        <v>45597.0</v>
      </c>
      <c r="U139" s="188">
        <v>380000.0</v>
      </c>
      <c r="V139" s="189"/>
      <c r="X139" s="45" t="s">
        <v>318</v>
      </c>
      <c r="Y139" s="44">
        <v>45630.0</v>
      </c>
      <c r="Z139" s="45">
        <v>250000.0</v>
      </c>
      <c r="AL139" s="144"/>
      <c r="AM139" s="144"/>
      <c r="AN139" s="144"/>
      <c r="AO139" s="144"/>
      <c r="AP139" s="144"/>
      <c r="AQ139" s="144"/>
      <c r="AR139" s="144"/>
      <c r="AS139" s="144"/>
    </row>
    <row r="140" ht="22.5" customHeight="1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S140" s="186" t="s">
        <v>306</v>
      </c>
      <c r="T140" s="194">
        <v>45597.0</v>
      </c>
      <c r="U140" s="188">
        <v>420000.0</v>
      </c>
      <c r="V140" s="189"/>
      <c r="X140" s="45" t="s">
        <v>331</v>
      </c>
      <c r="Y140" s="44">
        <v>45630.0</v>
      </c>
      <c r="Z140" s="45">
        <v>380000.0</v>
      </c>
      <c r="AL140" s="144"/>
      <c r="AM140" s="144"/>
      <c r="AN140" s="144"/>
      <c r="AO140" s="144"/>
      <c r="AP140" s="144"/>
      <c r="AQ140" s="144"/>
      <c r="AR140" s="144"/>
      <c r="AS140" s="144"/>
    </row>
    <row r="141" ht="22.5" customHeight="1">
      <c r="A141" s="17" t="s">
        <v>574</v>
      </c>
      <c r="B141" s="72">
        <f>(B71+B72+B78+B81+B82+B83+B92+B99+B107+B108)/3800</f>
        <v>2080.789474</v>
      </c>
      <c r="C141" s="72">
        <f t="shared" ref="C141:D141" si="13">(C71+C72+C78+C81+C82+C83+C92+C99+C107+C108)/3900</f>
        <v>777.9487179</v>
      </c>
      <c r="D141" s="72">
        <f t="shared" si="13"/>
        <v>860</v>
      </c>
      <c r="E141" s="72">
        <f>(E71+E72+E78+E81+E82+E83+E92+E99+E107+E108)/3800</f>
        <v>741.3157895</v>
      </c>
      <c r="F141" s="72">
        <f>(F71+F72+F78+F81+F82+F83+F92+F99+F107+F108)/3900</f>
        <v>797.9487179</v>
      </c>
      <c r="G141" s="72">
        <f>(G71+G72+G78+G81+G82+G83+G92+G99+G107+G108)/3800</f>
        <v>800</v>
      </c>
      <c r="H141" s="72">
        <f>(H71+H72+H78+H81+H82+H83+H92+H99+H107+H108)/4000</f>
        <v>635</v>
      </c>
      <c r="I141" s="72">
        <f t="shared" ref="I141:L141" si="14">(I71+I72+I78+I81+I82+I83+I92+I99+I100+I107+I108+I44)/4000</f>
        <v>786.25</v>
      </c>
      <c r="J141" s="72">
        <f t="shared" si="14"/>
        <v>1032.5</v>
      </c>
      <c r="K141" s="72">
        <f t="shared" si="14"/>
        <v>472.5</v>
      </c>
      <c r="L141" s="72">
        <f t="shared" si="14"/>
        <v>472.5</v>
      </c>
      <c r="M141" s="72">
        <f>(M71+M72+M78+M81+M82+M83+M92+M99+M100+M107+M108+M44+M89)/4000</f>
        <v>852.5</v>
      </c>
      <c r="N141" s="72">
        <f t="shared" ref="N141:N142" si="18">SUM(B141:M141)</f>
        <v>10309.2527</v>
      </c>
      <c r="O141" s="72">
        <f t="shared" ref="O141:O142" si="19">N141/12</f>
        <v>859.1043916</v>
      </c>
      <c r="S141" s="186" t="s">
        <v>351</v>
      </c>
      <c r="T141" s="194">
        <v>45598.0</v>
      </c>
      <c r="U141" s="188">
        <v>310000.0</v>
      </c>
      <c r="V141" s="189"/>
      <c r="X141" s="45" t="s">
        <v>364</v>
      </c>
      <c r="Y141" s="44">
        <v>45631.0</v>
      </c>
      <c r="Z141" s="45">
        <v>380000.0</v>
      </c>
      <c r="AL141" s="144"/>
      <c r="AM141" s="144"/>
      <c r="AN141" s="144"/>
      <c r="AO141" s="144"/>
      <c r="AP141" s="144"/>
      <c r="AQ141" s="144"/>
      <c r="AR141" s="144"/>
      <c r="AS141" s="144"/>
    </row>
    <row r="142" ht="22.5" customHeight="1">
      <c r="A142" s="65" t="s">
        <v>575</v>
      </c>
      <c r="B142" s="72">
        <f>B141*3800</f>
        <v>7907000</v>
      </c>
      <c r="C142" s="72">
        <f t="shared" ref="C142:D142" si="15">C141*3900</f>
        <v>3034000</v>
      </c>
      <c r="D142" s="72">
        <f t="shared" si="15"/>
        <v>3354000</v>
      </c>
      <c r="E142" s="72">
        <f>E141*3800</f>
        <v>2817000</v>
      </c>
      <c r="F142" s="72">
        <f>F141*3900</f>
        <v>3112000</v>
      </c>
      <c r="G142" s="72">
        <f t="shared" ref="G142:J142" si="16">G141*3800</f>
        <v>3040000</v>
      </c>
      <c r="H142" s="72">
        <f t="shared" si="16"/>
        <v>2413000</v>
      </c>
      <c r="I142" s="72">
        <f t="shared" si="16"/>
        <v>2987750</v>
      </c>
      <c r="J142" s="72">
        <f t="shared" si="16"/>
        <v>3923500</v>
      </c>
      <c r="K142" s="72">
        <f>K141*4300</f>
        <v>2031750</v>
      </c>
      <c r="L142" s="72">
        <f t="shared" ref="L142:M142" si="17">L141*4400</f>
        <v>2079000</v>
      </c>
      <c r="M142" s="72">
        <f t="shared" si="17"/>
        <v>3751000</v>
      </c>
      <c r="N142" s="72">
        <f t="shared" si="18"/>
        <v>40450000</v>
      </c>
      <c r="O142" s="72">
        <f t="shared" si="19"/>
        <v>3370833.333</v>
      </c>
      <c r="S142" s="186" t="s">
        <v>576</v>
      </c>
      <c r="T142" s="194">
        <v>45600.0</v>
      </c>
      <c r="U142" s="188">
        <v>320000.0</v>
      </c>
      <c r="V142" s="189"/>
      <c r="X142" s="45" t="s">
        <v>397</v>
      </c>
      <c r="Y142" s="44">
        <v>45631.0</v>
      </c>
      <c r="Z142" s="45">
        <v>780000.0</v>
      </c>
      <c r="AA142" s="17" t="s">
        <v>577</v>
      </c>
      <c r="AL142" s="144"/>
      <c r="AM142" s="144"/>
      <c r="AN142" s="144"/>
      <c r="AO142" s="144"/>
      <c r="AP142" s="144"/>
      <c r="AQ142" s="144"/>
      <c r="AR142" s="144"/>
      <c r="AS142" s="144"/>
    </row>
    <row r="143" ht="22.5" customHeight="1"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S143" s="186" t="s">
        <v>499</v>
      </c>
      <c r="T143" s="194">
        <v>45600.0</v>
      </c>
      <c r="U143" s="188">
        <v>320000.0</v>
      </c>
      <c r="V143" s="189"/>
      <c r="X143" s="45" t="s">
        <v>319</v>
      </c>
      <c r="Y143" s="44">
        <v>45631.0</v>
      </c>
      <c r="Z143" s="45">
        <v>310000.0</v>
      </c>
      <c r="AL143" s="144"/>
      <c r="AM143" s="144"/>
      <c r="AN143" s="144"/>
      <c r="AO143" s="144"/>
      <c r="AP143" s="144"/>
      <c r="AQ143" s="144"/>
      <c r="AR143" s="144"/>
      <c r="AS143" s="144"/>
    </row>
    <row r="144" ht="22.5" customHeight="1">
      <c r="A144" s="17" t="s">
        <v>578</v>
      </c>
      <c r="B144" s="72"/>
      <c r="C144" s="72">
        <f t="shared" ref="C144:I144" si="20">SUM(C121:C127)*30%-C131</f>
        <v>95000</v>
      </c>
      <c r="D144" s="72">
        <f t="shared" si="20"/>
        <v>185000</v>
      </c>
      <c r="E144" s="72">
        <f t="shared" si="20"/>
        <v>95000</v>
      </c>
      <c r="F144" s="72">
        <f t="shared" si="20"/>
        <v>170000</v>
      </c>
      <c r="G144" s="72">
        <f t="shared" si="20"/>
        <v>95000</v>
      </c>
      <c r="H144" s="72">
        <f t="shared" si="20"/>
        <v>5000</v>
      </c>
      <c r="I144" s="72">
        <f t="shared" si="20"/>
        <v>175000</v>
      </c>
      <c r="J144" s="72">
        <f>SUM(J121:J127)*30%</f>
        <v>435000</v>
      </c>
      <c r="K144" s="72">
        <f t="shared" ref="K144:M144" si="21">SUM(K121:K128)*30%</f>
        <v>273000</v>
      </c>
      <c r="L144" s="72">
        <f t="shared" si="21"/>
        <v>210000</v>
      </c>
      <c r="M144" s="72">
        <f t="shared" si="21"/>
        <v>112500</v>
      </c>
      <c r="N144" s="17" t="s">
        <v>579</v>
      </c>
      <c r="O144" s="17" t="s">
        <v>580</v>
      </c>
      <c r="S144" s="186" t="s">
        <v>304</v>
      </c>
      <c r="T144" s="194">
        <v>45600.0</v>
      </c>
      <c r="U144" s="188">
        <v>420000.0</v>
      </c>
      <c r="V144" s="189"/>
      <c r="X144" s="45" t="s">
        <v>281</v>
      </c>
      <c r="Y144" s="44">
        <v>45631.0</v>
      </c>
      <c r="Z144" s="45">
        <v>250000.0</v>
      </c>
      <c r="AL144" s="144"/>
      <c r="AM144" s="144"/>
      <c r="AN144" s="144"/>
      <c r="AO144" s="144"/>
      <c r="AP144" s="144"/>
      <c r="AQ144" s="144"/>
      <c r="AR144" s="144"/>
      <c r="AS144" s="144"/>
    </row>
    <row r="145" ht="22.5" customHeight="1">
      <c r="A145" s="17" t="s">
        <v>28</v>
      </c>
      <c r="B145" s="72">
        <f>(B109-B135)-B137-B136</f>
        <v>17608700</v>
      </c>
      <c r="C145" s="72">
        <f t="shared" ref="C145:M145" si="22">(C109-C135)-C137</f>
        <v>12373000</v>
      </c>
      <c r="D145" s="72">
        <f t="shared" si="22"/>
        <v>10211150</v>
      </c>
      <c r="E145" s="72">
        <f t="shared" si="22"/>
        <v>14111500</v>
      </c>
      <c r="F145" s="72">
        <f t="shared" si="22"/>
        <v>11106000</v>
      </c>
      <c r="G145" s="72">
        <f t="shared" si="22"/>
        <v>10301500</v>
      </c>
      <c r="H145" s="72">
        <f t="shared" si="22"/>
        <v>11983800</v>
      </c>
      <c r="I145" s="72">
        <f t="shared" si="22"/>
        <v>11396000</v>
      </c>
      <c r="J145" s="72">
        <f t="shared" si="22"/>
        <v>11536000</v>
      </c>
      <c r="K145" s="72">
        <f t="shared" si="22"/>
        <v>10292000</v>
      </c>
      <c r="L145" s="72">
        <f t="shared" si="22"/>
        <v>9423500</v>
      </c>
      <c r="M145" s="72">
        <f t="shared" si="22"/>
        <v>10155000</v>
      </c>
      <c r="N145" s="72">
        <f>SUM(B145:M145)</f>
        <v>140498150</v>
      </c>
      <c r="O145" s="72">
        <f t="shared" ref="O145:O147" si="24">N145/12</f>
        <v>11708179.17</v>
      </c>
      <c r="S145" s="186" t="s">
        <v>534</v>
      </c>
      <c r="T145" s="194">
        <v>45601.0</v>
      </c>
      <c r="U145" s="188">
        <v>150000.0</v>
      </c>
      <c r="V145" s="186" t="s">
        <v>581</v>
      </c>
      <c r="X145" s="17" t="s">
        <v>582</v>
      </c>
      <c r="Y145" s="44">
        <v>45632.0</v>
      </c>
      <c r="Z145" s="45">
        <v>400000.0</v>
      </c>
      <c r="AL145" s="144"/>
      <c r="AM145" s="144"/>
      <c r="AN145" s="144"/>
      <c r="AO145" s="144"/>
      <c r="AP145" s="144"/>
      <c r="AQ145" s="144"/>
      <c r="AR145" s="144"/>
      <c r="AS145" s="144"/>
    </row>
    <row r="146" ht="22.5" customHeight="1">
      <c r="A146" s="17" t="s">
        <v>102</v>
      </c>
      <c r="B146" s="104">
        <f t="shared" ref="B146:M146" si="23">SUM(B144:B145)</f>
        <v>17608700</v>
      </c>
      <c r="C146" s="104">
        <f t="shared" si="23"/>
        <v>12468000</v>
      </c>
      <c r="D146" s="104">
        <f t="shared" si="23"/>
        <v>10396150</v>
      </c>
      <c r="E146" s="104">
        <f t="shared" si="23"/>
        <v>14206500</v>
      </c>
      <c r="F146" s="104">
        <f t="shared" si="23"/>
        <v>11276000</v>
      </c>
      <c r="G146" s="104">
        <f t="shared" si="23"/>
        <v>10396500</v>
      </c>
      <c r="H146" s="104">
        <f t="shared" si="23"/>
        <v>11988800</v>
      </c>
      <c r="I146" s="104">
        <f t="shared" si="23"/>
        <v>11571000</v>
      </c>
      <c r="J146" s="104">
        <f t="shared" si="23"/>
        <v>11971000</v>
      </c>
      <c r="K146" s="104">
        <f t="shared" si="23"/>
        <v>10565000</v>
      </c>
      <c r="L146" s="104">
        <f t="shared" si="23"/>
        <v>9633500</v>
      </c>
      <c r="M146" s="104">
        <f t="shared" si="23"/>
        <v>10267500</v>
      </c>
      <c r="N146" s="72">
        <f>sum(B146:M146)</f>
        <v>142348650</v>
      </c>
      <c r="O146" s="72">
        <f t="shared" si="24"/>
        <v>11862387.5</v>
      </c>
      <c r="S146" s="186" t="s">
        <v>328</v>
      </c>
      <c r="T146" s="194">
        <v>45601.0</v>
      </c>
      <c r="U146" s="188">
        <v>310000.0</v>
      </c>
      <c r="V146" s="189"/>
      <c r="X146" s="17" t="s">
        <v>583</v>
      </c>
      <c r="Y146" s="44">
        <v>45632.0</v>
      </c>
      <c r="Z146" s="45">
        <v>250000.0</v>
      </c>
      <c r="AL146" s="144"/>
      <c r="AM146" s="144"/>
      <c r="AN146" s="144"/>
      <c r="AO146" s="144"/>
      <c r="AP146" s="144"/>
      <c r="AQ146" s="144"/>
      <c r="AR146" s="144"/>
      <c r="AS146" s="144"/>
    </row>
    <row r="147" ht="22.5" customHeight="1">
      <c r="A147" s="65" t="s">
        <v>584</v>
      </c>
      <c r="B147" s="72">
        <f t="shared" ref="B147:M147" si="25">B146-B142</f>
        <v>9701700</v>
      </c>
      <c r="C147" s="72">
        <f t="shared" si="25"/>
        <v>9434000</v>
      </c>
      <c r="D147" s="72">
        <f t="shared" si="25"/>
        <v>7042150</v>
      </c>
      <c r="E147" s="72">
        <f t="shared" si="25"/>
        <v>11389500</v>
      </c>
      <c r="F147" s="72">
        <f t="shared" si="25"/>
        <v>8164000</v>
      </c>
      <c r="G147" s="72">
        <f t="shared" si="25"/>
        <v>7356500</v>
      </c>
      <c r="H147" s="72">
        <f t="shared" si="25"/>
        <v>9575800</v>
      </c>
      <c r="I147" s="72">
        <f t="shared" si="25"/>
        <v>8583250</v>
      </c>
      <c r="J147" s="72">
        <f t="shared" si="25"/>
        <v>8047500</v>
      </c>
      <c r="K147" s="72">
        <f t="shared" si="25"/>
        <v>8533250</v>
      </c>
      <c r="L147" s="72">
        <f t="shared" si="25"/>
        <v>7554500</v>
      </c>
      <c r="M147" s="72">
        <f t="shared" si="25"/>
        <v>6516500</v>
      </c>
      <c r="N147" s="72">
        <f>SUM(B147:M147)</f>
        <v>101898650</v>
      </c>
      <c r="O147" s="72">
        <f t="shared" si="24"/>
        <v>8491554.167</v>
      </c>
      <c r="S147" s="186" t="s">
        <v>324</v>
      </c>
      <c r="T147" s="194">
        <v>45602.0</v>
      </c>
      <c r="U147" s="188">
        <v>250000.0</v>
      </c>
      <c r="V147" s="189"/>
      <c r="X147" s="17" t="s">
        <v>288</v>
      </c>
      <c r="Y147" s="44">
        <v>45632.0</v>
      </c>
      <c r="Z147" s="45">
        <v>250000.0</v>
      </c>
      <c r="AL147" s="144"/>
      <c r="AM147" s="144"/>
      <c r="AN147" s="144"/>
      <c r="AO147" s="144"/>
      <c r="AP147" s="144"/>
      <c r="AQ147" s="144"/>
      <c r="AR147" s="144"/>
      <c r="AS147" s="144"/>
    </row>
    <row r="148" ht="22.5" customHeight="1">
      <c r="D148" s="17"/>
      <c r="N148" s="17" t="s">
        <v>173</v>
      </c>
      <c r="O148" s="17" t="s">
        <v>580</v>
      </c>
      <c r="S148" s="186" t="s">
        <v>524</v>
      </c>
      <c r="T148" s="194">
        <v>45603.0</v>
      </c>
      <c r="U148" s="188">
        <v>250000.0</v>
      </c>
      <c r="V148" s="189"/>
      <c r="X148" s="17" t="s">
        <v>585</v>
      </c>
      <c r="Y148" s="44">
        <v>45633.0</v>
      </c>
      <c r="Z148" s="45">
        <v>420000.0</v>
      </c>
      <c r="AL148" s="144"/>
      <c r="AM148" s="144"/>
      <c r="AN148" s="144"/>
      <c r="AO148" s="144"/>
      <c r="AP148" s="144"/>
      <c r="AQ148" s="144"/>
      <c r="AR148" s="144"/>
      <c r="AS148" s="144"/>
    </row>
    <row r="149" ht="22.5" customHeight="1">
      <c r="A149" s="17" t="s">
        <v>586</v>
      </c>
      <c r="D149" s="17"/>
      <c r="N149" s="17"/>
      <c r="O149" s="17"/>
      <c r="S149" s="186" t="s">
        <v>587</v>
      </c>
      <c r="T149" s="195">
        <v>45603.0</v>
      </c>
      <c r="U149" s="188">
        <v>320000.0</v>
      </c>
      <c r="V149" s="189"/>
      <c r="X149" s="17" t="s">
        <v>588</v>
      </c>
      <c r="Y149" s="44">
        <v>45635.0</v>
      </c>
      <c r="Z149" s="45">
        <v>310000.0</v>
      </c>
      <c r="AL149" s="144"/>
      <c r="AM149" s="144"/>
      <c r="AN149" s="144"/>
      <c r="AO149" s="144"/>
      <c r="AP149" s="144"/>
      <c r="AQ149" s="144"/>
      <c r="AR149" s="144"/>
      <c r="AS149" s="144"/>
    </row>
    <row r="150" ht="22.5" customHeight="1">
      <c r="A150" s="17" t="s">
        <v>589</v>
      </c>
      <c r="B150" s="72">
        <f t="shared" ref="B150:M150" si="26">SUM(B9+B14+B27+B28+B50+B60+B62+B93+B102+B105+B65)*50%</f>
        <v>2440000</v>
      </c>
      <c r="C150" s="72">
        <f t="shared" si="26"/>
        <v>1465000</v>
      </c>
      <c r="D150" s="72">
        <f t="shared" si="26"/>
        <v>1255000</v>
      </c>
      <c r="E150" s="72">
        <f t="shared" si="26"/>
        <v>1255000</v>
      </c>
      <c r="F150" s="72">
        <f t="shared" si="26"/>
        <v>1675000</v>
      </c>
      <c r="G150" s="72">
        <f t="shared" si="26"/>
        <v>1655000</v>
      </c>
      <c r="H150" s="72">
        <f t="shared" si="26"/>
        <v>2180000</v>
      </c>
      <c r="I150" s="72">
        <f t="shared" si="26"/>
        <v>1430000</v>
      </c>
      <c r="J150" s="72">
        <f t="shared" si="26"/>
        <v>1707500</v>
      </c>
      <c r="K150" s="72">
        <f t="shared" si="26"/>
        <v>2720000</v>
      </c>
      <c r="L150" s="72">
        <f t="shared" si="26"/>
        <v>2105000</v>
      </c>
      <c r="M150" s="72">
        <f t="shared" si="26"/>
        <v>1515000</v>
      </c>
      <c r="N150" s="45">
        <f t="shared" ref="N150:N153" si="28">SUM(B150:M150)</f>
        <v>21402500</v>
      </c>
      <c r="O150" s="17"/>
      <c r="S150" s="186" t="s">
        <v>582</v>
      </c>
      <c r="T150" s="195">
        <v>45603.0</v>
      </c>
      <c r="U150" s="188">
        <v>400000.0</v>
      </c>
      <c r="V150" s="189"/>
      <c r="X150" s="17" t="s">
        <v>376</v>
      </c>
      <c r="Y150" s="44">
        <v>45634.0</v>
      </c>
      <c r="Z150" s="45">
        <v>250000.0</v>
      </c>
      <c r="AL150" s="144"/>
      <c r="AM150" s="144"/>
      <c r="AN150" s="144"/>
      <c r="AO150" s="144"/>
      <c r="AP150" s="144"/>
      <c r="AQ150" s="144"/>
      <c r="AR150" s="144"/>
      <c r="AS150" s="144"/>
    </row>
    <row r="151" ht="22.5" customHeight="1">
      <c r="A151" s="30" t="s">
        <v>590</v>
      </c>
      <c r="B151" s="196">
        <f>SUM(B5+B11+B17+B18+B21+B22+B23+B26+B29+B31+B36+B47+B48+B54+B58+B59+B64+B20+B39)</f>
        <v>2462500</v>
      </c>
      <c r="C151" s="196">
        <f t="shared" ref="C151:M151" si="27">SUM(C5+C11+C17+C18+C21+C22+C23+C26+C29+C31+C36+C47+C48+C54+C58+C59+C64)</f>
        <v>2760000</v>
      </c>
      <c r="D151" s="196">
        <f t="shared" si="27"/>
        <v>2550000</v>
      </c>
      <c r="E151" s="196">
        <f t="shared" si="27"/>
        <v>2550000</v>
      </c>
      <c r="F151" s="196">
        <f t="shared" si="27"/>
        <v>2500000</v>
      </c>
      <c r="G151" s="196">
        <f t="shared" si="27"/>
        <v>3495000</v>
      </c>
      <c r="H151" s="196">
        <f t="shared" si="27"/>
        <v>3290000</v>
      </c>
      <c r="I151" s="196">
        <f t="shared" si="27"/>
        <v>4080000</v>
      </c>
      <c r="J151" s="196">
        <f t="shared" si="27"/>
        <v>4180000</v>
      </c>
      <c r="K151" s="196">
        <f t="shared" si="27"/>
        <v>4680000</v>
      </c>
      <c r="L151" s="196">
        <f t="shared" si="27"/>
        <v>4430000</v>
      </c>
      <c r="M151" s="196">
        <f t="shared" si="27"/>
        <v>4960000</v>
      </c>
      <c r="N151" s="72">
        <f t="shared" si="28"/>
        <v>41937500</v>
      </c>
      <c r="O151" s="72">
        <f t="shared" ref="O151:O153" si="30">N151/11</f>
        <v>3812500</v>
      </c>
      <c r="P151" s="17" t="s">
        <v>591</v>
      </c>
      <c r="S151" s="186" t="s">
        <v>288</v>
      </c>
      <c r="T151" s="195">
        <v>45603.0</v>
      </c>
      <c r="U151" s="188">
        <v>250000.0</v>
      </c>
      <c r="V151" s="189"/>
      <c r="X151" s="17" t="s">
        <v>486</v>
      </c>
      <c r="Y151" s="44">
        <v>45635.0</v>
      </c>
      <c r="Z151" s="45">
        <v>320000.0</v>
      </c>
      <c r="AL151" s="144"/>
      <c r="AM151" s="144"/>
      <c r="AN151" s="144"/>
      <c r="AO151" s="144"/>
      <c r="AP151" s="144"/>
      <c r="AQ151" s="144"/>
      <c r="AR151" s="144"/>
      <c r="AS151" s="144"/>
    </row>
    <row r="152" ht="22.5" customHeight="1">
      <c r="A152" s="68" t="s">
        <v>592</v>
      </c>
      <c r="B152" s="105">
        <f t="shared" ref="B152:M152" si="29">B113</f>
        <v>1760000</v>
      </c>
      <c r="C152" s="105">
        <f t="shared" si="29"/>
        <v>2676000</v>
      </c>
      <c r="D152" s="105">
        <f t="shared" si="29"/>
        <v>2688000</v>
      </c>
      <c r="E152" s="105">
        <f t="shared" si="29"/>
        <v>2903000</v>
      </c>
      <c r="F152" s="105">
        <f t="shared" si="29"/>
        <v>2730000</v>
      </c>
      <c r="G152" s="105">
        <f t="shared" si="29"/>
        <v>2535000</v>
      </c>
      <c r="H152" s="105">
        <f t="shared" si="29"/>
        <v>2828000</v>
      </c>
      <c r="I152" s="105">
        <f t="shared" si="29"/>
        <v>2470000</v>
      </c>
      <c r="J152" s="105">
        <f t="shared" si="29"/>
        <v>3120000</v>
      </c>
      <c r="K152" s="105">
        <f t="shared" si="29"/>
        <v>3120000</v>
      </c>
      <c r="L152" s="105">
        <f t="shared" si="29"/>
        <v>2502000</v>
      </c>
      <c r="M152" s="105">
        <f t="shared" si="29"/>
        <v>1625000</v>
      </c>
      <c r="N152" s="72">
        <f t="shared" si="28"/>
        <v>30957000</v>
      </c>
      <c r="O152" s="72">
        <f t="shared" si="30"/>
        <v>2814272.727</v>
      </c>
      <c r="P152" s="17" t="s">
        <v>593</v>
      </c>
      <c r="S152" s="186" t="s">
        <v>364</v>
      </c>
      <c r="T152" s="195">
        <v>45603.0</v>
      </c>
      <c r="U152" s="188">
        <v>380000.0</v>
      </c>
      <c r="V152" s="189"/>
      <c r="X152" s="17" t="s">
        <v>335</v>
      </c>
      <c r="Y152" s="191">
        <v>45636.0</v>
      </c>
      <c r="Z152" s="45">
        <v>300000.0</v>
      </c>
      <c r="AL152" s="144"/>
      <c r="AM152" s="144"/>
      <c r="AN152" s="144"/>
      <c r="AO152" s="144"/>
      <c r="AP152" s="144"/>
      <c r="AQ152" s="144"/>
      <c r="AR152" s="144"/>
      <c r="AS152" s="144"/>
    </row>
    <row r="153" ht="22.5" customHeight="1">
      <c r="A153" s="67" t="s">
        <v>594</v>
      </c>
      <c r="B153" s="139">
        <f t="shared" ref="B153:M153" si="31">B150+B151-B152</f>
        <v>3142500</v>
      </c>
      <c r="C153" s="139">
        <f t="shared" si="31"/>
        <v>1549000</v>
      </c>
      <c r="D153" s="139">
        <f t="shared" si="31"/>
        <v>1117000</v>
      </c>
      <c r="E153" s="139">
        <f t="shared" si="31"/>
        <v>902000</v>
      </c>
      <c r="F153" s="139">
        <f t="shared" si="31"/>
        <v>1445000</v>
      </c>
      <c r="G153" s="139">
        <f t="shared" si="31"/>
        <v>2615000</v>
      </c>
      <c r="H153" s="139">
        <f t="shared" si="31"/>
        <v>2642000</v>
      </c>
      <c r="I153" s="139">
        <f t="shared" si="31"/>
        <v>3040000</v>
      </c>
      <c r="J153" s="139">
        <f t="shared" si="31"/>
        <v>2767500</v>
      </c>
      <c r="K153" s="139">
        <f t="shared" si="31"/>
        <v>4280000</v>
      </c>
      <c r="L153" s="139">
        <f t="shared" si="31"/>
        <v>4033000</v>
      </c>
      <c r="M153" s="139">
        <f t="shared" si="31"/>
        <v>4850000</v>
      </c>
      <c r="N153" s="72">
        <f t="shared" si="28"/>
        <v>32383000</v>
      </c>
      <c r="O153" s="72">
        <f t="shared" si="30"/>
        <v>2943909.091</v>
      </c>
      <c r="P153" s="17" t="s">
        <v>595</v>
      </c>
      <c r="S153" s="186" t="s">
        <v>485</v>
      </c>
      <c r="T153" s="195">
        <v>45603.0</v>
      </c>
      <c r="U153" s="188">
        <v>160000.0</v>
      </c>
      <c r="V153" s="189"/>
      <c r="X153" s="17" t="s">
        <v>329</v>
      </c>
      <c r="Y153" s="191">
        <v>45636.0</v>
      </c>
      <c r="Z153" s="45">
        <v>140000.0</v>
      </c>
      <c r="AK153" s="144"/>
      <c r="AL153" s="144"/>
      <c r="AM153" s="144"/>
      <c r="AN153" s="144"/>
      <c r="AO153" s="144"/>
      <c r="AP153" s="144"/>
      <c r="AQ153" s="144"/>
      <c r="AR153" s="144"/>
    </row>
    <row r="154" ht="22.5" customHeight="1">
      <c r="S154" s="186" t="s">
        <v>366</v>
      </c>
      <c r="T154" s="195">
        <v>45603.0</v>
      </c>
      <c r="U154" s="188">
        <v>250000.0</v>
      </c>
      <c r="V154" s="189"/>
      <c r="X154" s="17" t="s">
        <v>596</v>
      </c>
      <c r="Y154" s="191">
        <v>45636.0</v>
      </c>
      <c r="Z154" s="45">
        <v>250000.0</v>
      </c>
      <c r="AK154" s="144"/>
      <c r="AL154" s="144"/>
      <c r="AM154" s="144"/>
      <c r="AN154" s="144"/>
      <c r="AO154" s="144"/>
      <c r="AP154" s="144"/>
      <c r="AQ154" s="144"/>
      <c r="AR154" s="144"/>
    </row>
    <row r="155" ht="22.5" customHeight="1">
      <c r="E155" s="190"/>
      <c r="L155" s="17" t="s">
        <v>597</v>
      </c>
      <c r="N155" s="72">
        <f>N150+N151</f>
        <v>63340000</v>
      </c>
      <c r="O155" s="72">
        <f t="shared" ref="O155:O157" si="32">N155/11</f>
        <v>5758181.818</v>
      </c>
      <c r="S155" s="186" t="s">
        <v>319</v>
      </c>
      <c r="T155" s="195">
        <v>45604.0</v>
      </c>
      <c r="U155" s="188">
        <v>310000.0</v>
      </c>
      <c r="V155" s="189"/>
      <c r="X155" s="17" t="s">
        <v>598</v>
      </c>
      <c r="Y155" s="191">
        <v>45639.0</v>
      </c>
      <c r="Z155" s="45">
        <v>310000.0</v>
      </c>
      <c r="AK155" s="144"/>
      <c r="AL155" s="144"/>
      <c r="AM155" s="144"/>
      <c r="AN155" s="144"/>
      <c r="AO155" s="144"/>
      <c r="AP155" s="144"/>
      <c r="AQ155" s="144"/>
      <c r="AR155" s="144"/>
    </row>
    <row r="156" ht="22.5" customHeight="1">
      <c r="A156" s="197"/>
      <c r="C156" s="72"/>
      <c r="L156" s="17" t="s">
        <v>599</v>
      </c>
      <c r="N156" s="72">
        <f>N152</f>
        <v>30957000</v>
      </c>
      <c r="O156" s="142">
        <f t="shared" si="32"/>
        <v>2814272.727</v>
      </c>
      <c r="S156" s="186" t="s">
        <v>317</v>
      </c>
      <c r="T156" s="195">
        <v>45604.0</v>
      </c>
      <c r="U156" s="188">
        <v>420000.0</v>
      </c>
      <c r="V156" s="189"/>
      <c r="X156" s="17" t="s">
        <v>349</v>
      </c>
      <c r="Y156" s="191">
        <v>45642.0</v>
      </c>
      <c r="Z156" s="45">
        <v>310000.0</v>
      </c>
      <c r="AK156" s="144"/>
      <c r="AL156" s="144"/>
      <c r="AM156" s="144"/>
      <c r="AN156" s="144"/>
      <c r="AO156" s="144"/>
      <c r="AP156" s="144"/>
      <c r="AQ156" s="144"/>
      <c r="AR156" s="144"/>
    </row>
    <row r="157" ht="22.5" customHeight="1">
      <c r="A157" s="17"/>
      <c r="B157" s="17"/>
      <c r="C157" s="45"/>
      <c r="D157" s="17"/>
      <c r="E157" s="17"/>
      <c r="L157" s="17" t="s">
        <v>600</v>
      </c>
      <c r="N157" s="72">
        <f>N155-N156</f>
        <v>32383000</v>
      </c>
      <c r="O157" s="72">
        <f t="shared" si="32"/>
        <v>2943909.091</v>
      </c>
      <c r="S157" s="186" t="s">
        <v>335</v>
      </c>
      <c r="T157" s="195">
        <v>45604.0</v>
      </c>
      <c r="U157" s="188">
        <v>300000.0</v>
      </c>
      <c r="V157" s="189"/>
      <c r="X157" s="17" t="s">
        <v>338</v>
      </c>
      <c r="Y157" s="191">
        <v>45642.0</v>
      </c>
      <c r="Z157" s="45">
        <v>250000.0</v>
      </c>
      <c r="AK157" s="144"/>
      <c r="AL157" s="144"/>
      <c r="AM157" s="144"/>
      <c r="AN157" s="144"/>
      <c r="AO157" s="144"/>
      <c r="AP157" s="144"/>
      <c r="AQ157" s="144"/>
      <c r="AR157" s="144"/>
    </row>
    <row r="158" ht="22.5" customHeight="1">
      <c r="A158" s="45"/>
      <c r="B158" s="72"/>
      <c r="D158" s="72"/>
      <c r="E158" s="45"/>
      <c r="S158" s="186" t="s">
        <v>376</v>
      </c>
      <c r="T158" s="195">
        <v>45604.0</v>
      </c>
      <c r="U158" s="188">
        <v>250000.0</v>
      </c>
      <c r="V158" s="189"/>
      <c r="X158" s="17" t="s">
        <v>386</v>
      </c>
      <c r="Y158" s="191">
        <v>45642.0</v>
      </c>
      <c r="Z158" s="45">
        <v>310000.0</v>
      </c>
      <c r="AK158" s="144"/>
      <c r="AL158" s="144"/>
      <c r="AM158" s="144"/>
      <c r="AN158" s="144"/>
      <c r="AO158" s="144"/>
      <c r="AP158" s="144"/>
      <c r="AQ158" s="144"/>
      <c r="AR158" s="144"/>
    </row>
    <row r="159" ht="18.75" customHeight="1">
      <c r="A159" s="17"/>
      <c r="B159" s="45"/>
      <c r="C159" s="72"/>
      <c r="D159" s="72"/>
      <c r="E159" s="45"/>
      <c r="M159" s="198" t="s">
        <v>601</v>
      </c>
      <c r="O159" s="103">
        <f>O156/O155</f>
        <v>0.4887432902</v>
      </c>
      <c r="S159" s="186" t="s">
        <v>602</v>
      </c>
      <c r="T159" s="195">
        <v>45605.0</v>
      </c>
      <c r="U159" s="188">
        <v>310000.0</v>
      </c>
      <c r="V159" s="189"/>
      <c r="X159" s="17" t="s">
        <v>529</v>
      </c>
      <c r="Y159" s="191">
        <v>45643.0</v>
      </c>
      <c r="Z159" s="45">
        <v>300000.0</v>
      </c>
      <c r="AK159" s="144"/>
      <c r="AL159" s="144"/>
      <c r="AM159" s="144"/>
      <c r="AN159" s="144"/>
      <c r="AO159" s="144"/>
      <c r="AP159" s="144"/>
      <c r="AQ159" s="144"/>
      <c r="AR159" s="144"/>
    </row>
    <row r="160" ht="18.75" customHeight="1">
      <c r="A160" s="17"/>
      <c r="B160" s="72"/>
      <c r="C160" s="72"/>
      <c r="D160" s="45"/>
      <c r="E160" s="72"/>
      <c r="S160" s="186" t="s">
        <v>603</v>
      </c>
      <c r="T160" s="195">
        <v>45605.0</v>
      </c>
      <c r="U160" s="188">
        <v>450000.0</v>
      </c>
      <c r="V160" s="189"/>
      <c r="X160" s="17" t="s">
        <v>397</v>
      </c>
      <c r="Y160" s="191">
        <v>45646.0</v>
      </c>
      <c r="Z160" s="45">
        <v>250000.0</v>
      </c>
      <c r="AA160" s="17" t="s">
        <v>604</v>
      </c>
      <c r="AK160" s="144"/>
      <c r="AL160" s="144"/>
      <c r="AM160" s="144"/>
      <c r="AN160" s="144"/>
      <c r="AO160" s="144"/>
      <c r="AP160" s="144"/>
      <c r="AQ160" s="144"/>
      <c r="AR160" s="144"/>
    </row>
    <row r="161" ht="18.75" customHeight="1">
      <c r="A161" s="197"/>
      <c r="B161" s="199"/>
      <c r="C161" s="199"/>
      <c r="D161" s="199"/>
      <c r="E161" s="72"/>
      <c r="S161" s="186" t="s">
        <v>494</v>
      </c>
      <c r="T161" s="195">
        <v>45605.0</v>
      </c>
      <c r="U161" s="188">
        <v>300000.0</v>
      </c>
      <c r="V161" s="189"/>
      <c r="X161" s="17" t="s">
        <v>355</v>
      </c>
      <c r="Y161" s="191">
        <v>45645.0</v>
      </c>
      <c r="Z161" s="45">
        <v>320000.0</v>
      </c>
      <c r="AK161" s="144"/>
      <c r="AL161" s="144"/>
      <c r="AM161" s="144"/>
      <c r="AN161" s="144"/>
      <c r="AO161" s="144"/>
      <c r="AP161" s="144"/>
      <c r="AQ161" s="144"/>
      <c r="AR161" s="144"/>
    </row>
    <row r="162" ht="18.75" customHeight="1">
      <c r="B162" s="72"/>
      <c r="C162" s="72"/>
      <c r="D162" s="72"/>
      <c r="E162" s="72"/>
      <c r="S162" s="186" t="s">
        <v>338</v>
      </c>
      <c r="T162" s="200">
        <v>45609.0</v>
      </c>
      <c r="U162" s="188">
        <v>250000.0</v>
      </c>
      <c r="V162" s="189"/>
      <c r="X162" s="17" t="s">
        <v>393</v>
      </c>
      <c r="Y162" s="191">
        <v>45649.0</v>
      </c>
      <c r="Z162" s="45">
        <v>420000.0</v>
      </c>
      <c r="AK162" s="144"/>
      <c r="AL162" s="144"/>
      <c r="AM162" s="144"/>
      <c r="AN162" s="144"/>
      <c r="AO162" s="144"/>
      <c r="AP162" s="144"/>
      <c r="AQ162" s="144"/>
      <c r="AR162" s="144"/>
    </row>
    <row r="163" ht="18.75" customHeight="1">
      <c r="A163" s="197"/>
      <c r="C163" s="72"/>
      <c r="S163" s="186" t="s">
        <v>605</v>
      </c>
      <c r="T163" s="200">
        <v>45611.0</v>
      </c>
      <c r="U163" s="188">
        <v>75000.0</v>
      </c>
      <c r="V163" s="189"/>
      <c r="X163" s="17" t="s">
        <v>535</v>
      </c>
      <c r="Y163" s="191">
        <v>45650.0</v>
      </c>
      <c r="Z163" s="45">
        <v>380000.0</v>
      </c>
      <c r="AK163" s="144"/>
      <c r="AL163" s="144"/>
      <c r="AM163" s="144"/>
      <c r="AN163" s="144"/>
      <c r="AO163" s="144"/>
      <c r="AP163" s="144"/>
      <c r="AQ163" s="144"/>
      <c r="AR163" s="144"/>
    </row>
    <row r="164" ht="18.75" customHeight="1">
      <c r="A164" s="17"/>
      <c r="B164" s="17"/>
      <c r="C164" s="45"/>
      <c r="D164" s="17"/>
      <c r="E164" s="17"/>
      <c r="S164" s="186" t="s">
        <v>381</v>
      </c>
      <c r="T164" s="200">
        <v>45611.0</v>
      </c>
      <c r="U164" s="188">
        <v>500000.0</v>
      </c>
      <c r="V164" s="189"/>
      <c r="X164" s="17" t="s">
        <v>414</v>
      </c>
      <c r="Y164" s="191">
        <v>45655.0</v>
      </c>
      <c r="Z164" s="45">
        <v>320000.0</v>
      </c>
      <c r="AK164" s="144"/>
      <c r="AL164" s="144"/>
      <c r="AM164" s="144"/>
      <c r="AN164" s="144"/>
      <c r="AO164" s="144"/>
      <c r="AP164" s="144"/>
      <c r="AQ164" s="144"/>
      <c r="AR164" s="144"/>
    </row>
    <row r="165" ht="22.5" customHeight="1">
      <c r="A165" s="45"/>
      <c r="B165" s="72"/>
      <c r="D165" s="72"/>
      <c r="E165" s="45"/>
      <c r="S165" s="186" t="s">
        <v>386</v>
      </c>
      <c r="T165" s="200">
        <v>45611.0</v>
      </c>
      <c r="U165" s="188">
        <v>310000.0</v>
      </c>
      <c r="V165" s="189"/>
      <c r="X165" s="17" t="s">
        <v>606</v>
      </c>
      <c r="Y165" s="191">
        <v>45656.0</v>
      </c>
      <c r="Z165" s="45">
        <v>75000.0</v>
      </c>
      <c r="AK165" s="144"/>
      <c r="AL165" s="144"/>
      <c r="AM165" s="144"/>
      <c r="AN165" s="144"/>
      <c r="AO165" s="144"/>
      <c r="AP165" s="144"/>
      <c r="AQ165" s="144"/>
      <c r="AR165" s="144"/>
    </row>
    <row r="166" ht="17.25" customHeight="1">
      <c r="A166" s="17"/>
      <c r="B166" s="45"/>
      <c r="C166" s="72"/>
      <c r="D166" s="72"/>
      <c r="E166" s="45"/>
      <c r="S166" s="186" t="s">
        <v>527</v>
      </c>
      <c r="T166" s="200">
        <v>45614.0</v>
      </c>
      <c r="U166" s="188">
        <v>310000.0</v>
      </c>
      <c r="V166" s="189"/>
      <c r="X166" s="17" t="s">
        <v>607</v>
      </c>
      <c r="Y166" s="44">
        <v>45663.0</v>
      </c>
      <c r="Z166" s="45">
        <v>300000.0</v>
      </c>
      <c r="AK166" s="144"/>
      <c r="AL166" s="144"/>
      <c r="AM166" s="144"/>
      <c r="AN166" s="144"/>
      <c r="AO166" s="144"/>
      <c r="AP166" s="144"/>
      <c r="AQ166" s="144"/>
      <c r="AR166" s="144"/>
    </row>
    <row r="167" ht="21.0" customHeight="1">
      <c r="A167" s="17"/>
      <c r="B167" s="72"/>
      <c r="C167" s="72"/>
      <c r="D167" s="45"/>
      <c r="E167" s="72"/>
      <c r="S167" s="186" t="s">
        <v>355</v>
      </c>
      <c r="T167" s="200">
        <v>45615.0</v>
      </c>
      <c r="U167" s="188">
        <v>320000.0</v>
      </c>
      <c r="V167" s="189"/>
      <c r="AK167" s="144"/>
      <c r="AL167" s="144"/>
      <c r="AM167" s="144"/>
      <c r="AN167" s="144"/>
      <c r="AO167" s="144"/>
      <c r="AP167" s="144"/>
      <c r="AQ167" s="144"/>
      <c r="AR167" s="144"/>
    </row>
    <row r="168" ht="21.0" customHeight="1">
      <c r="A168" s="197"/>
      <c r="B168" s="199"/>
      <c r="C168" s="199"/>
      <c r="D168" s="199"/>
      <c r="E168" s="72"/>
      <c r="S168" s="186" t="s">
        <v>492</v>
      </c>
      <c r="T168" s="200">
        <v>45617.0</v>
      </c>
      <c r="U168" s="188">
        <v>450000.0</v>
      </c>
      <c r="V168" s="189"/>
      <c r="X168" s="17" t="s">
        <v>608</v>
      </c>
      <c r="Z168" s="72">
        <f>SUM(Z130:Z166)</f>
        <v>11525000</v>
      </c>
      <c r="AK168" s="144"/>
      <c r="AL168" s="144"/>
      <c r="AM168" s="144"/>
      <c r="AN168" s="144"/>
      <c r="AO168" s="144"/>
      <c r="AP168" s="144"/>
      <c r="AQ168" s="144"/>
      <c r="AR168" s="144"/>
    </row>
    <row r="169" ht="17.25" customHeight="1">
      <c r="A169" s="49"/>
      <c r="C169" s="72"/>
      <c r="S169" s="186" t="s">
        <v>496</v>
      </c>
      <c r="T169" s="200">
        <v>45617.0</v>
      </c>
      <c r="U169" s="188">
        <v>300000.0</v>
      </c>
      <c r="V169" s="186" t="s">
        <v>609</v>
      </c>
      <c r="X169" s="17" t="s">
        <v>610</v>
      </c>
      <c r="Z169" s="72">
        <f>M113</f>
        <v>1625000</v>
      </c>
      <c r="AK169" s="144"/>
      <c r="AL169" s="144"/>
      <c r="AM169" s="144"/>
      <c r="AN169" s="144"/>
      <c r="AO169" s="144"/>
      <c r="AP169" s="144"/>
      <c r="AQ169" s="144"/>
      <c r="AR169" s="144"/>
    </row>
    <row r="170" ht="17.25" customHeight="1">
      <c r="A170" s="197"/>
      <c r="C170" s="72"/>
      <c r="S170" s="186" t="s">
        <v>611</v>
      </c>
      <c r="T170" s="200">
        <v>45622.0</v>
      </c>
      <c r="U170" s="188">
        <v>380000.0</v>
      </c>
      <c r="V170" s="189"/>
      <c r="Z170" s="45"/>
      <c r="AK170" s="144"/>
      <c r="AL170" s="144"/>
      <c r="AM170" s="144"/>
      <c r="AN170" s="144"/>
      <c r="AO170" s="144"/>
      <c r="AP170" s="144"/>
      <c r="AQ170" s="144"/>
      <c r="AR170" s="144"/>
    </row>
    <row r="171" ht="15.0" customHeight="1">
      <c r="A171" s="17"/>
      <c r="B171" s="17"/>
      <c r="C171" s="45"/>
      <c r="D171" s="17"/>
      <c r="E171" s="17"/>
      <c r="S171" s="186" t="s">
        <v>393</v>
      </c>
      <c r="T171" s="200">
        <v>45622.0</v>
      </c>
      <c r="U171" s="188">
        <v>420000.0</v>
      </c>
      <c r="V171" s="189"/>
      <c r="X171" s="17" t="s">
        <v>539</v>
      </c>
      <c r="Z171" s="72">
        <f>Z168-Z169-Z170</f>
        <v>9900000</v>
      </c>
      <c r="AK171" s="144"/>
      <c r="AL171" s="144"/>
      <c r="AM171" s="144"/>
      <c r="AN171" s="144"/>
      <c r="AO171" s="144"/>
      <c r="AP171" s="144"/>
      <c r="AQ171" s="144"/>
      <c r="AR171" s="144"/>
    </row>
    <row r="172" ht="22.5" customHeight="1">
      <c r="A172" s="45"/>
      <c r="B172" s="72"/>
      <c r="D172" s="72"/>
      <c r="E172" s="45"/>
      <c r="S172" s="201" t="s">
        <v>414</v>
      </c>
      <c r="T172" s="200">
        <v>45624.0</v>
      </c>
      <c r="U172" s="188">
        <v>320000.0</v>
      </c>
      <c r="V172" s="189"/>
      <c r="X172" s="17" t="s">
        <v>612</v>
      </c>
      <c r="Z172" s="72">
        <f>M139-Z171</f>
        <v>127500</v>
      </c>
      <c r="AK172" s="144"/>
      <c r="AL172" s="144"/>
      <c r="AM172" s="144"/>
      <c r="AN172" s="144"/>
      <c r="AO172" s="144"/>
      <c r="AP172" s="144"/>
      <c r="AQ172" s="144"/>
      <c r="AR172" s="144"/>
    </row>
    <row r="173" ht="18.0" customHeight="1">
      <c r="A173" s="17"/>
      <c r="B173" s="45"/>
      <c r="C173" s="72"/>
      <c r="D173" s="72"/>
      <c r="E173" s="45"/>
      <c r="S173" s="189"/>
      <c r="T173" s="189"/>
      <c r="U173" s="202"/>
      <c r="V173" s="189"/>
      <c r="X173" s="17" t="s">
        <v>539</v>
      </c>
      <c r="Z173" s="72">
        <f>Z171+Z172</f>
        <v>10027500</v>
      </c>
      <c r="AK173" s="144"/>
      <c r="AL173" s="144"/>
      <c r="AM173" s="144"/>
      <c r="AN173" s="144"/>
      <c r="AO173" s="144"/>
      <c r="AP173" s="144"/>
      <c r="AQ173" s="144"/>
      <c r="AR173" s="144"/>
    </row>
    <row r="174">
      <c r="A174" s="17"/>
      <c r="B174" s="72"/>
      <c r="C174" s="72"/>
      <c r="D174" s="45"/>
      <c r="E174" s="72"/>
      <c r="U174" s="72"/>
      <c r="AK174" s="144"/>
      <c r="AL174" s="144"/>
      <c r="AM174" s="144"/>
      <c r="AN174" s="144"/>
      <c r="AO174" s="144"/>
      <c r="AP174" s="144"/>
      <c r="AQ174" s="144"/>
      <c r="AR174" s="144"/>
    </row>
    <row r="175" ht="13.5" customHeight="1">
      <c r="A175" s="197"/>
      <c r="B175" s="199"/>
      <c r="C175" s="199"/>
      <c r="D175" s="199"/>
      <c r="E175" s="72"/>
      <c r="U175" s="72"/>
      <c r="AK175" s="144"/>
      <c r="AL175" s="144"/>
      <c r="AM175" s="144"/>
      <c r="AN175" s="144"/>
      <c r="AO175" s="144"/>
      <c r="AP175" s="144"/>
      <c r="AQ175" s="144"/>
      <c r="AR175" s="144"/>
    </row>
    <row r="176">
      <c r="A176" s="49"/>
      <c r="C176" s="72"/>
      <c r="T176" s="17" t="s">
        <v>613</v>
      </c>
      <c r="U176" s="72">
        <f>SUM(U130:U175)</f>
        <v>13635000</v>
      </c>
      <c r="AK176" s="144"/>
      <c r="AL176" s="144"/>
      <c r="AM176" s="144"/>
      <c r="AN176" s="144"/>
      <c r="AO176" s="144"/>
      <c r="AP176" s="144"/>
      <c r="AQ176" s="144"/>
      <c r="AR176" s="144"/>
    </row>
    <row r="177" ht="18.75" customHeight="1">
      <c r="B177" s="45"/>
      <c r="C177" s="45"/>
      <c r="D177" s="72"/>
      <c r="E177" s="45"/>
      <c r="S177" s="17" t="s">
        <v>614</v>
      </c>
      <c r="U177" s="72">
        <f>L130+L113</f>
        <v>2664500</v>
      </c>
      <c r="AK177" s="144"/>
      <c r="AL177" s="144"/>
      <c r="AM177" s="144"/>
      <c r="AN177" s="144"/>
      <c r="AO177" s="144"/>
      <c r="AP177" s="144"/>
      <c r="AQ177" s="144"/>
      <c r="AR177" s="144"/>
    </row>
    <row r="178">
      <c r="B178" s="72"/>
      <c r="C178" s="45"/>
      <c r="D178" s="45"/>
      <c r="E178" s="72"/>
      <c r="S178" s="78" t="s">
        <v>615</v>
      </c>
      <c r="T178" s="17"/>
      <c r="U178" s="45">
        <v>216000.0</v>
      </c>
      <c r="AK178" s="144"/>
      <c r="AL178" s="144"/>
      <c r="AM178" s="144"/>
      <c r="AN178" s="144"/>
      <c r="AO178" s="144"/>
      <c r="AP178" s="144"/>
      <c r="AQ178" s="144"/>
      <c r="AR178" s="144"/>
    </row>
    <row r="179" ht="15.0" customHeight="1">
      <c r="B179" s="45"/>
      <c r="C179" s="72"/>
      <c r="D179" s="72"/>
      <c r="E179" s="72"/>
      <c r="AK179" s="144"/>
      <c r="AL179" s="144"/>
      <c r="AM179" s="144"/>
      <c r="AN179" s="144"/>
      <c r="AO179" s="144"/>
      <c r="AP179" s="144"/>
      <c r="AQ179" s="144"/>
      <c r="AR179" s="144"/>
    </row>
    <row r="180" ht="15.0" customHeight="1">
      <c r="A180" s="78"/>
      <c r="B180" s="17"/>
      <c r="C180" s="72"/>
      <c r="S180" s="49"/>
      <c r="T180" s="17"/>
      <c r="U180" s="72"/>
      <c r="AK180" s="144"/>
      <c r="AL180" s="144"/>
      <c r="AM180" s="144"/>
      <c r="AN180" s="144"/>
      <c r="AO180" s="144"/>
      <c r="AP180" s="144"/>
      <c r="AQ180" s="144"/>
      <c r="AR180" s="144"/>
    </row>
    <row r="181" ht="15.0" customHeight="1">
      <c r="A181" s="49"/>
      <c r="C181" s="72"/>
      <c r="S181" s="78" t="s">
        <v>440</v>
      </c>
      <c r="T181" s="17"/>
      <c r="U181" s="72">
        <f>U176-U177-U178</f>
        <v>10754500</v>
      </c>
      <c r="V181" s="72">
        <f>L138-U181</f>
        <v>0</v>
      </c>
      <c r="AK181" s="144"/>
      <c r="AL181" s="144"/>
      <c r="AM181" s="144"/>
      <c r="AN181" s="144"/>
      <c r="AO181" s="144"/>
      <c r="AP181" s="144"/>
      <c r="AQ181" s="144"/>
      <c r="AR181" s="144"/>
    </row>
    <row r="182" ht="16.5" customHeight="1">
      <c r="C182" s="72"/>
      <c r="S182" s="179" t="s">
        <v>616</v>
      </c>
      <c r="T182" s="31"/>
      <c r="U182" s="72"/>
      <c r="AK182" s="144"/>
      <c r="AL182" s="144"/>
      <c r="AM182" s="144"/>
      <c r="AN182" s="144"/>
      <c r="AO182" s="144"/>
      <c r="AP182" s="144"/>
      <c r="AQ182" s="144"/>
      <c r="AR182" s="144"/>
    </row>
    <row r="183">
      <c r="C183" s="72"/>
      <c r="S183" s="179" t="s">
        <v>617</v>
      </c>
      <c r="T183" s="31"/>
      <c r="U183" s="72"/>
      <c r="AK183" s="144"/>
      <c r="AL183" s="144"/>
      <c r="AM183" s="144"/>
      <c r="AN183" s="144"/>
      <c r="AO183" s="144"/>
      <c r="AP183" s="144"/>
      <c r="AQ183" s="144"/>
      <c r="AR183" s="144"/>
    </row>
    <row r="184">
      <c r="B184" s="45"/>
      <c r="C184" s="45"/>
      <c r="D184" s="72"/>
      <c r="E184" s="45"/>
      <c r="AK184" s="144"/>
      <c r="AL184" s="144"/>
      <c r="AM184" s="144"/>
      <c r="AN184" s="144"/>
      <c r="AO184" s="144"/>
      <c r="AP184" s="144"/>
      <c r="AQ184" s="144"/>
      <c r="AR184" s="144"/>
    </row>
    <row r="185">
      <c r="B185" s="45"/>
      <c r="C185" s="45"/>
      <c r="D185" s="45"/>
      <c r="E185" s="72"/>
      <c r="AK185" s="144"/>
      <c r="AL185" s="144"/>
      <c r="AM185" s="144"/>
      <c r="AN185" s="144"/>
      <c r="AO185" s="144"/>
      <c r="AP185" s="144"/>
      <c r="AQ185" s="144"/>
      <c r="AR185" s="144"/>
    </row>
    <row r="186" ht="20.25" customHeight="1">
      <c r="B186" s="45"/>
      <c r="C186" s="72"/>
      <c r="D186" s="72"/>
      <c r="E186" s="72"/>
      <c r="AK186" s="144"/>
      <c r="AL186" s="144"/>
      <c r="AM186" s="144"/>
      <c r="AN186" s="144"/>
      <c r="AO186" s="144"/>
      <c r="AP186" s="144"/>
      <c r="AQ186" s="144"/>
      <c r="AR186" s="144"/>
    </row>
    <row r="187">
      <c r="A187" s="78"/>
      <c r="B187" s="17"/>
      <c r="C187" s="72"/>
      <c r="AK187" s="144"/>
      <c r="AL187" s="144"/>
      <c r="AM187" s="144"/>
      <c r="AN187" s="144"/>
      <c r="AO187" s="144"/>
      <c r="AP187" s="144"/>
      <c r="AQ187" s="144"/>
      <c r="AR187" s="144"/>
    </row>
    <row r="188">
      <c r="F188" s="72"/>
      <c r="AK188" s="144"/>
      <c r="AL188" s="144"/>
      <c r="AM188" s="144"/>
      <c r="AN188" s="144"/>
      <c r="AO188" s="144"/>
      <c r="AP188" s="144"/>
      <c r="AQ188" s="144"/>
      <c r="AR188" s="144"/>
    </row>
    <row r="189">
      <c r="F189" s="72"/>
      <c r="AK189" s="144"/>
      <c r="AL189" s="144"/>
      <c r="AM189" s="144"/>
      <c r="AN189" s="144"/>
      <c r="AO189" s="144"/>
      <c r="AP189" s="144"/>
      <c r="AQ189" s="144"/>
      <c r="AR189" s="144"/>
    </row>
    <row r="190">
      <c r="F190" s="72"/>
      <c r="AK190" s="144"/>
      <c r="AL190" s="144"/>
      <c r="AM190" s="144"/>
      <c r="AN190" s="144"/>
      <c r="AO190" s="144"/>
      <c r="AP190" s="144"/>
      <c r="AQ190" s="144"/>
      <c r="AR190" s="144"/>
    </row>
    <row r="191">
      <c r="F191" s="72"/>
      <c r="AK191" s="144"/>
      <c r="AL191" s="144"/>
      <c r="AM191" s="144"/>
      <c r="AN191" s="144"/>
      <c r="AO191" s="144"/>
      <c r="AP191" s="144"/>
      <c r="AQ191" s="144"/>
      <c r="AR191" s="144"/>
    </row>
    <row r="192">
      <c r="F192" s="72"/>
      <c r="AK192" s="144"/>
      <c r="AL192" s="144"/>
      <c r="AM192" s="144"/>
      <c r="AN192" s="144"/>
      <c r="AO192" s="144"/>
      <c r="AP192" s="144"/>
      <c r="AQ192" s="144"/>
      <c r="AR192" s="144"/>
    </row>
    <row r="193">
      <c r="F193" s="72"/>
      <c r="AK193" s="144"/>
      <c r="AL193" s="144"/>
      <c r="AM193" s="144"/>
      <c r="AN193" s="144"/>
      <c r="AO193" s="144"/>
      <c r="AP193" s="144"/>
      <c r="AQ193" s="144"/>
      <c r="AR193" s="144"/>
    </row>
    <row r="194">
      <c r="F194" s="72"/>
      <c r="AK194" s="144"/>
      <c r="AL194" s="144"/>
      <c r="AM194" s="144"/>
      <c r="AN194" s="144"/>
      <c r="AO194" s="144"/>
      <c r="AP194" s="144"/>
      <c r="AQ194" s="144"/>
      <c r="AR194" s="144"/>
    </row>
    <row r="195">
      <c r="F195" s="72"/>
      <c r="AK195" s="144"/>
      <c r="AL195" s="144"/>
      <c r="AM195" s="144"/>
      <c r="AN195" s="144"/>
      <c r="AO195" s="144"/>
      <c r="AP195" s="144"/>
      <c r="AQ195" s="144"/>
      <c r="AR195" s="144"/>
    </row>
    <row r="196">
      <c r="G196" s="72"/>
      <c r="AL196" s="144"/>
      <c r="AM196" s="144"/>
      <c r="AN196" s="144"/>
      <c r="AO196" s="144"/>
      <c r="AP196" s="144"/>
      <c r="AQ196" s="144"/>
      <c r="AR196" s="144"/>
      <c r="AS196" s="144"/>
    </row>
    <row r="197">
      <c r="G197" s="72"/>
      <c r="AL197" s="144"/>
      <c r="AM197" s="144"/>
      <c r="AN197" s="144"/>
      <c r="AO197" s="144"/>
      <c r="AP197" s="144"/>
      <c r="AQ197" s="144"/>
      <c r="AR197" s="144"/>
      <c r="AS197" s="144"/>
    </row>
    <row r="198">
      <c r="G198" s="72"/>
      <c r="AL198" s="144"/>
      <c r="AM198" s="144"/>
      <c r="AN198" s="144"/>
      <c r="AO198" s="144"/>
      <c r="AP198" s="144"/>
      <c r="AQ198" s="144"/>
      <c r="AR198" s="144"/>
      <c r="AS198" s="144"/>
    </row>
    <row r="199">
      <c r="G199" s="72"/>
      <c r="AL199" s="144"/>
      <c r="AM199" s="144"/>
      <c r="AN199" s="144"/>
      <c r="AO199" s="144"/>
      <c r="AP199" s="144"/>
      <c r="AQ199" s="144"/>
      <c r="AR199" s="144"/>
      <c r="AS199" s="144"/>
    </row>
    <row r="200">
      <c r="G200" s="72"/>
      <c r="AL200" s="144"/>
      <c r="AM200" s="144"/>
      <c r="AN200" s="144"/>
      <c r="AO200" s="144"/>
      <c r="AP200" s="144"/>
      <c r="AQ200" s="144"/>
      <c r="AR200" s="144"/>
      <c r="AS200" s="144"/>
    </row>
    <row r="201">
      <c r="G201" s="72"/>
      <c r="AL201" s="144"/>
      <c r="AM201" s="144"/>
      <c r="AN201" s="144"/>
      <c r="AO201" s="144"/>
      <c r="AP201" s="144"/>
      <c r="AQ201" s="144"/>
      <c r="AR201" s="144"/>
      <c r="AS201" s="144"/>
    </row>
    <row r="202">
      <c r="G202" s="45"/>
      <c r="AL202" s="144"/>
      <c r="AM202" s="144"/>
      <c r="AN202" s="144"/>
      <c r="AO202" s="144"/>
      <c r="AP202" s="144"/>
      <c r="AQ202" s="144"/>
      <c r="AR202" s="144"/>
      <c r="AS202" s="144"/>
    </row>
    <row r="203">
      <c r="G203" s="72"/>
      <c r="AL203" s="144"/>
      <c r="AM203" s="144"/>
      <c r="AN203" s="144"/>
      <c r="AO203" s="144"/>
      <c r="AP203" s="144"/>
      <c r="AQ203" s="144"/>
      <c r="AR203" s="144"/>
      <c r="AS203" s="144"/>
    </row>
    <row r="204">
      <c r="G204" s="72"/>
      <c r="AL204" s="144"/>
      <c r="AM204" s="144"/>
      <c r="AN204" s="144"/>
      <c r="AO204" s="144"/>
      <c r="AP204" s="144"/>
      <c r="AQ204" s="144"/>
      <c r="AR204" s="144"/>
      <c r="AS204" s="144"/>
    </row>
    <row r="205">
      <c r="G205" s="72"/>
      <c r="AL205" s="144"/>
      <c r="AM205" s="144"/>
      <c r="AN205" s="144"/>
      <c r="AO205" s="144"/>
      <c r="AP205" s="144"/>
      <c r="AQ205" s="144"/>
      <c r="AR205" s="144"/>
      <c r="AS205" s="144"/>
    </row>
    <row r="206">
      <c r="G206" s="72"/>
      <c r="AL206" s="144"/>
      <c r="AM206" s="144"/>
      <c r="AN206" s="144"/>
      <c r="AO206" s="144"/>
      <c r="AP206" s="144"/>
      <c r="AQ206" s="144"/>
      <c r="AR206" s="144"/>
      <c r="AS206" s="144"/>
    </row>
    <row r="207">
      <c r="G207" s="72"/>
      <c r="AL207" s="144"/>
      <c r="AM207" s="144"/>
      <c r="AN207" s="144"/>
      <c r="AO207" s="144"/>
      <c r="AP207" s="144"/>
      <c r="AQ207" s="144"/>
      <c r="AR207" s="144"/>
      <c r="AS207" s="144"/>
    </row>
    <row r="208">
      <c r="AL208" s="144"/>
      <c r="AM208" s="144"/>
      <c r="AN208" s="144"/>
      <c r="AO208" s="144"/>
      <c r="AP208" s="144"/>
      <c r="AQ208" s="144"/>
      <c r="AR208" s="144"/>
      <c r="AS208" s="144"/>
    </row>
    <row r="209">
      <c r="AL209" s="144"/>
      <c r="AM209" s="144"/>
      <c r="AN209" s="144"/>
      <c r="AO209" s="144"/>
      <c r="AP209" s="144"/>
      <c r="AQ209" s="144"/>
      <c r="AR209" s="144"/>
      <c r="AS209" s="144"/>
    </row>
    <row r="210">
      <c r="AL210" s="144"/>
      <c r="AM210" s="144"/>
      <c r="AN210" s="144"/>
      <c r="AO210" s="144"/>
      <c r="AP210" s="144"/>
      <c r="AQ210" s="144"/>
      <c r="AR210" s="144"/>
      <c r="AS210" s="144"/>
    </row>
    <row r="211">
      <c r="AL211" s="144"/>
      <c r="AM211" s="144"/>
      <c r="AN211" s="144"/>
      <c r="AO211" s="144"/>
      <c r="AP211" s="144"/>
      <c r="AQ211" s="144"/>
      <c r="AR211" s="144"/>
      <c r="AS211" s="144"/>
    </row>
    <row r="212">
      <c r="G212" s="72"/>
      <c r="AL212" s="144"/>
      <c r="AM212" s="144"/>
      <c r="AN212" s="144"/>
      <c r="AO212" s="144"/>
      <c r="AP212" s="144"/>
      <c r="AQ212" s="144"/>
      <c r="AR212" s="144"/>
      <c r="AS212" s="144"/>
    </row>
    <row r="213">
      <c r="G213" s="72"/>
      <c r="AL213" s="144"/>
      <c r="AM213" s="144"/>
      <c r="AN213" s="144"/>
      <c r="AO213" s="144"/>
      <c r="AP213" s="144"/>
      <c r="AQ213" s="144"/>
      <c r="AR213" s="144"/>
      <c r="AS213" s="144"/>
    </row>
    <row r="214">
      <c r="G214" s="72"/>
      <c r="AL214" s="144"/>
      <c r="AM214" s="144"/>
      <c r="AN214" s="144"/>
      <c r="AO214" s="144"/>
      <c r="AP214" s="144"/>
      <c r="AQ214" s="144"/>
      <c r="AR214" s="144"/>
      <c r="AS214" s="144"/>
    </row>
    <row r="215">
      <c r="G215" s="72"/>
      <c r="AL215" s="144"/>
      <c r="AM215" s="144"/>
      <c r="AN215" s="144"/>
      <c r="AO215" s="144"/>
      <c r="AP215" s="144"/>
      <c r="AQ215" s="144"/>
      <c r="AR215" s="144"/>
      <c r="AS215" s="144"/>
    </row>
    <row r="216">
      <c r="G216" s="45"/>
      <c r="AL216" s="144"/>
      <c r="AM216" s="144"/>
      <c r="AN216" s="144"/>
      <c r="AO216" s="144"/>
      <c r="AP216" s="144"/>
      <c r="AQ216" s="144"/>
      <c r="AR216" s="144"/>
      <c r="AS216" s="144"/>
    </row>
    <row r="217">
      <c r="G217" s="72"/>
      <c r="AL217" s="144"/>
      <c r="AM217" s="144"/>
      <c r="AN217" s="144"/>
      <c r="AO217" s="144"/>
      <c r="AP217" s="144"/>
      <c r="AQ217" s="144"/>
      <c r="AR217" s="144"/>
      <c r="AS217" s="144"/>
    </row>
    <row r="218">
      <c r="AL218" s="144"/>
      <c r="AM218" s="144"/>
      <c r="AN218" s="144"/>
      <c r="AO218" s="144"/>
      <c r="AP218" s="144"/>
      <c r="AQ218" s="144"/>
      <c r="AR218" s="144"/>
      <c r="AS218" s="144"/>
    </row>
    <row r="219">
      <c r="AL219" s="144"/>
      <c r="AM219" s="144"/>
      <c r="AN219" s="144"/>
      <c r="AO219" s="144"/>
      <c r="AP219" s="144"/>
      <c r="AQ219" s="144"/>
      <c r="AR219" s="144"/>
      <c r="AS219" s="144"/>
    </row>
    <row r="220">
      <c r="AL220" s="144"/>
      <c r="AM220" s="144"/>
      <c r="AN220" s="144"/>
      <c r="AO220" s="144"/>
      <c r="AP220" s="144"/>
      <c r="AQ220" s="144"/>
      <c r="AR220" s="144"/>
      <c r="AS220" s="144"/>
    </row>
    <row r="221">
      <c r="AL221" s="144"/>
      <c r="AM221" s="144"/>
      <c r="AN221" s="144"/>
      <c r="AO221" s="144"/>
      <c r="AP221" s="144"/>
      <c r="AQ221" s="144"/>
      <c r="AR221" s="144"/>
      <c r="AS221" s="144"/>
    </row>
    <row r="222">
      <c r="AL222" s="144"/>
      <c r="AM222" s="144"/>
      <c r="AN222" s="144"/>
      <c r="AO222" s="144"/>
      <c r="AP222" s="144"/>
      <c r="AQ222" s="144"/>
      <c r="AR222" s="144"/>
      <c r="AS222" s="144"/>
    </row>
    <row r="223">
      <c r="AL223" s="144"/>
      <c r="AM223" s="144"/>
      <c r="AN223" s="144"/>
      <c r="AO223" s="144"/>
      <c r="AP223" s="144"/>
      <c r="AQ223" s="144"/>
      <c r="AR223" s="144"/>
      <c r="AS223" s="144"/>
    </row>
    <row r="224">
      <c r="AL224" s="144"/>
      <c r="AM224" s="144"/>
      <c r="AN224" s="144"/>
      <c r="AO224" s="144"/>
      <c r="AP224" s="144"/>
      <c r="AQ224" s="144"/>
      <c r="AR224" s="144"/>
      <c r="AS224" s="144"/>
    </row>
    <row r="225">
      <c r="AL225" s="144"/>
      <c r="AM225" s="144"/>
      <c r="AN225" s="144"/>
      <c r="AO225" s="144"/>
      <c r="AP225" s="144"/>
      <c r="AQ225" s="144"/>
      <c r="AR225" s="144"/>
      <c r="AS225" s="144"/>
    </row>
    <row r="226">
      <c r="AL226" s="144"/>
      <c r="AM226" s="144"/>
      <c r="AN226" s="144"/>
      <c r="AO226" s="144"/>
      <c r="AP226" s="144"/>
      <c r="AQ226" s="144"/>
      <c r="AR226" s="144"/>
      <c r="AS226" s="144"/>
    </row>
    <row r="227">
      <c r="AL227" s="144"/>
      <c r="AM227" s="144"/>
      <c r="AN227" s="144"/>
      <c r="AO227" s="144"/>
      <c r="AP227" s="144"/>
      <c r="AQ227" s="144"/>
      <c r="AR227" s="144"/>
      <c r="AS227" s="144"/>
    </row>
    <row r="228">
      <c r="AL228" s="144"/>
      <c r="AM228" s="144"/>
      <c r="AN228" s="144"/>
      <c r="AO228" s="144"/>
      <c r="AP228" s="144"/>
      <c r="AQ228" s="144"/>
      <c r="AR228" s="144"/>
      <c r="AS228" s="144"/>
    </row>
    <row r="229">
      <c r="AL229" s="144"/>
      <c r="AM229" s="144"/>
      <c r="AN229" s="144"/>
      <c r="AO229" s="144"/>
      <c r="AP229" s="144"/>
      <c r="AQ229" s="144"/>
      <c r="AR229" s="144"/>
      <c r="AS229" s="144"/>
    </row>
    <row r="230">
      <c r="AL230" s="144"/>
      <c r="AM230" s="144"/>
      <c r="AN230" s="144"/>
      <c r="AO230" s="144"/>
      <c r="AP230" s="144"/>
      <c r="AQ230" s="144"/>
      <c r="AR230" s="144"/>
      <c r="AS230" s="144"/>
    </row>
    <row r="231">
      <c r="AL231" s="144"/>
      <c r="AM231" s="144"/>
      <c r="AN231" s="144"/>
      <c r="AO231" s="144"/>
      <c r="AP231" s="144"/>
      <c r="AQ231" s="144"/>
      <c r="AR231" s="144"/>
      <c r="AS231" s="144"/>
    </row>
    <row r="232">
      <c r="AL232" s="144"/>
      <c r="AM232" s="144"/>
      <c r="AN232" s="144"/>
      <c r="AO232" s="144"/>
      <c r="AP232" s="144"/>
      <c r="AQ232" s="144"/>
      <c r="AR232" s="144"/>
      <c r="AS232" s="144"/>
    </row>
    <row r="233">
      <c r="AL233" s="144"/>
      <c r="AM233" s="144"/>
      <c r="AN233" s="144"/>
      <c r="AO233" s="144"/>
      <c r="AP233" s="144"/>
      <c r="AQ233" s="144"/>
      <c r="AR233" s="144"/>
      <c r="AS233" s="144"/>
    </row>
    <row r="234">
      <c r="AL234" s="144"/>
      <c r="AM234" s="144"/>
      <c r="AN234" s="144"/>
      <c r="AO234" s="144"/>
      <c r="AP234" s="144"/>
      <c r="AQ234" s="144"/>
      <c r="AR234" s="144"/>
      <c r="AS234" s="144"/>
    </row>
    <row r="235">
      <c r="AL235" s="144"/>
      <c r="AM235" s="144"/>
      <c r="AN235" s="144"/>
      <c r="AO235" s="144"/>
      <c r="AP235" s="144"/>
      <c r="AQ235" s="144"/>
      <c r="AR235" s="144"/>
      <c r="AS235" s="144"/>
    </row>
    <row r="236">
      <c r="A236" s="17"/>
      <c r="B236" s="17"/>
      <c r="C236" s="19"/>
      <c r="AL236" s="144"/>
      <c r="AM236" s="144"/>
      <c r="AN236" s="144"/>
      <c r="AO236" s="144"/>
      <c r="AP236" s="144"/>
      <c r="AQ236" s="144"/>
      <c r="AR236" s="144"/>
      <c r="AS236" s="144"/>
    </row>
    <row r="237">
      <c r="AL237" s="144"/>
      <c r="AM237" s="144"/>
      <c r="AN237" s="144"/>
      <c r="AO237" s="144"/>
      <c r="AP237" s="144"/>
      <c r="AQ237" s="144"/>
      <c r="AR237" s="144"/>
      <c r="AS237" s="144"/>
    </row>
    <row r="238">
      <c r="D238" s="19"/>
      <c r="E238" s="17"/>
      <c r="AL238" s="144"/>
      <c r="AM238" s="144"/>
      <c r="AN238" s="144"/>
      <c r="AO238" s="144"/>
      <c r="AP238" s="144"/>
      <c r="AQ238" s="144"/>
      <c r="AR238" s="144"/>
      <c r="AS238" s="144"/>
    </row>
    <row r="239">
      <c r="AL239" s="144"/>
      <c r="AM239" s="144"/>
      <c r="AN239" s="144"/>
      <c r="AO239" s="144"/>
      <c r="AP239" s="144"/>
      <c r="AQ239" s="144"/>
      <c r="AR239" s="144"/>
      <c r="AS239" s="144"/>
    </row>
    <row r="240">
      <c r="AL240" s="144"/>
      <c r="AM240" s="144"/>
      <c r="AN240" s="144"/>
      <c r="AO240" s="144"/>
      <c r="AP240" s="144"/>
      <c r="AQ240" s="144"/>
      <c r="AR240" s="144"/>
      <c r="AS240" s="144"/>
    </row>
    <row r="241">
      <c r="AL241" s="144"/>
      <c r="AM241" s="144"/>
      <c r="AN241" s="144"/>
      <c r="AO241" s="144"/>
      <c r="AP241" s="144"/>
      <c r="AQ241" s="144"/>
      <c r="AR241" s="144"/>
      <c r="AS241" s="144"/>
    </row>
    <row r="242">
      <c r="AL242" s="144"/>
      <c r="AM242" s="144"/>
      <c r="AN242" s="144"/>
      <c r="AO242" s="144"/>
      <c r="AP242" s="144"/>
      <c r="AQ242" s="144"/>
      <c r="AR242" s="144"/>
      <c r="AS242" s="144"/>
    </row>
    <row r="243">
      <c r="AL243" s="144"/>
      <c r="AM243" s="144"/>
      <c r="AN243" s="144"/>
      <c r="AO243" s="144"/>
      <c r="AP243" s="144"/>
      <c r="AQ243" s="144"/>
      <c r="AR243" s="144"/>
      <c r="AS243" s="144"/>
    </row>
    <row r="244">
      <c r="AL244" s="144"/>
      <c r="AM244" s="144"/>
      <c r="AN244" s="144"/>
      <c r="AO244" s="144"/>
      <c r="AP244" s="144"/>
      <c r="AQ244" s="144"/>
      <c r="AR244" s="144"/>
      <c r="AS244" s="144"/>
    </row>
    <row r="245">
      <c r="AL245" s="144"/>
      <c r="AM245" s="144"/>
      <c r="AN245" s="144"/>
      <c r="AO245" s="144"/>
      <c r="AP245" s="144"/>
      <c r="AQ245" s="144"/>
      <c r="AR245" s="144"/>
      <c r="AS245" s="144"/>
    </row>
    <row r="246">
      <c r="AL246" s="144"/>
      <c r="AM246" s="144"/>
      <c r="AN246" s="144"/>
      <c r="AO246" s="144"/>
      <c r="AP246" s="144"/>
      <c r="AQ246" s="144"/>
      <c r="AR246" s="144"/>
      <c r="AS246" s="144"/>
    </row>
    <row r="247">
      <c r="AL247" s="144"/>
      <c r="AM247" s="144"/>
      <c r="AN247" s="144"/>
      <c r="AO247" s="144"/>
      <c r="AP247" s="144"/>
      <c r="AQ247" s="144"/>
      <c r="AR247" s="144"/>
      <c r="AS247" s="144"/>
    </row>
    <row r="248">
      <c r="AL248" s="144"/>
      <c r="AM248" s="144"/>
      <c r="AN248" s="144"/>
      <c r="AO248" s="144"/>
      <c r="AP248" s="144"/>
      <c r="AQ248" s="144"/>
      <c r="AR248" s="144"/>
      <c r="AS248" s="144"/>
    </row>
    <row r="249">
      <c r="AL249" s="144"/>
      <c r="AM249" s="144"/>
      <c r="AN249" s="144"/>
      <c r="AO249" s="144"/>
      <c r="AP249" s="144"/>
      <c r="AQ249" s="144"/>
      <c r="AR249" s="144"/>
      <c r="AS249" s="144"/>
    </row>
    <row r="250">
      <c r="AL250" s="144"/>
      <c r="AM250" s="144"/>
      <c r="AN250" s="144"/>
      <c r="AO250" s="144"/>
      <c r="AP250" s="144"/>
      <c r="AQ250" s="144"/>
      <c r="AR250" s="144"/>
      <c r="AS250" s="144"/>
    </row>
    <row r="251">
      <c r="AL251" s="144"/>
      <c r="AM251" s="144"/>
      <c r="AN251" s="144"/>
      <c r="AO251" s="144"/>
      <c r="AP251" s="144"/>
      <c r="AQ251" s="144"/>
      <c r="AR251" s="144"/>
      <c r="AS251" s="144"/>
    </row>
    <row r="252">
      <c r="AL252" s="144"/>
      <c r="AM252" s="144"/>
      <c r="AN252" s="144"/>
      <c r="AO252" s="144"/>
      <c r="AP252" s="144"/>
      <c r="AQ252" s="144"/>
      <c r="AR252" s="144"/>
      <c r="AS252" s="144"/>
    </row>
    <row r="253">
      <c r="AL253" s="144"/>
      <c r="AM253" s="144"/>
      <c r="AN253" s="144"/>
      <c r="AO253" s="144"/>
      <c r="AP253" s="144"/>
      <c r="AQ253" s="144"/>
      <c r="AR253" s="144"/>
      <c r="AS253" s="144"/>
    </row>
    <row r="254">
      <c r="AL254" s="144"/>
      <c r="AM254" s="144"/>
      <c r="AN254" s="144"/>
      <c r="AO254" s="144"/>
      <c r="AP254" s="144"/>
      <c r="AQ254" s="144"/>
      <c r="AR254" s="144"/>
      <c r="AS254" s="144"/>
    </row>
    <row r="255">
      <c r="AL255" s="144"/>
      <c r="AM255" s="144"/>
      <c r="AN255" s="144"/>
      <c r="AO255" s="144"/>
      <c r="AP255" s="144"/>
      <c r="AQ255" s="144"/>
      <c r="AR255" s="144"/>
      <c r="AS255" s="144"/>
    </row>
    <row r="256">
      <c r="AL256" s="144"/>
      <c r="AM256" s="144"/>
      <c r="AN256" s="144"/>
      <c r="AO256" s="144"/>
      <c r="AP256" s="144"/>
      <c r="AQ256" s="144"/>
      <c r="AR256" s="144"/>
      <c r="AS256" s="144"/>
    </row>
    <row r="257">
      <c r="AL257" s="144"/>
      <c r="AM257" s="144"/>
      <c r="AN257" s="144"/>
      <c r="AO257" s="144"/>
      <c r="AP257" s="144"/>
      <c r="AQ257" s="144"/>
      <c r="AR257" s="144"/>
      <c r="AS257" s="144"/>
    </row>
    <row r="258">
      <c r="AL258" s="144"/>
      <c r="AM258" s="144"/>
      <c r="AN258" s="144"/>
      <c r="AO258" s="144"/>
      <c r="AP258" s="144"/>
      <c r="AQ258" s="144"/>
      <c r="AR258" s="144"/>
      <c r="AS258" s="144"/>
    </row>
    <row r="259">
      <c r="AL259" s="144"/>
      <c r="AM259" s="144"/>
      <c r="AN259" s="144"/>
      <c r="AO259" s="144"/>
      <c r="AP259" s="144"/>
      <c r="AQ259" s="144"/>
      <c r="AR259" s="144"/>
      <c r="AS259" s="144"/>
    </row>
    <row r="260">
      <c r="AL260" s="144"/>
      <c r="AM260" s="144"/>
      <c r="AN260" s="144"/>
      <c r="AO260" s="144"/>
      <c r="AP260" s="144"/>
      <c r="AQ260" s="144"/>
      <c r="AR260" s="144"/>
      <c r="AS260" s="144"/>
    </row>
    <row r="261">
      <c r="AL261" s="144"/>
      <c r="AM261" s="144"/>
      <c r="AN261" s="144"/>
      <c r="AO261" s="144"/>
      <c r="AP261" s="144"/>
      <c r="AQ261" s="144"/>
      <c r="AR261" s="144"/>
      <c r="AS261" s="144"/>
    </row>
    <row r="262">
      <c r="AL262" s="144"/>
      <c r="AM262" s="144"/>
      <c r="AN262" s="144"/>
      <c r="AO262" s="144"/>
      <c r="AP262" s="144"/>
      <c r="AQ262" s="144"/>
      <c r="AR262" s="144"/>
      <c r="AS262" s="144"/>
    </row>
    <row r="263">
      <c r="AL263" s="144"/>
      <c r="AM263" s="144"/>
      <c r="AN263" s="144"/>
      <c r="AO263" s="144"/>
      <c r="AP263" s="144"/>
      <c r="AQ263" s="144"/>
      <c r="AR263" s="144"/>
      <c r="AS263" s="144"/>
    </row>
    <row r="264">
      <c r="AL264" s="144"/>
      <c r="AM264" s="144"/>
      <c r="AN264" s="144"/>
      <c r="AO264" s="144"/>
      <c r="AP264" s="144"/>
      <c r="AQ264" s="144"/>
      <c r="AR264" s="144"/>
      <c r="AS264" s="144"/>
    </row>
    <row r="265">
      <c r="AL265" s="144"/>
      <c r="AM265" s="144"/>
      <c r="AN265" s="144"/>
      <c r="AO265" s="144"/>
      <c r="AP265" s="144"/>
      <c r="AQ265" s="144"/>
      <c r="AR265" s="144"/>
      <c r="AS265" s="144"/>
    </row>
    <row r="266">
      <c r="AL266" s="144"/>
      <c r="AM266" s="144"/>
      <c r="AN266" s="144"/>
      <c r="AO266" s="144"/>
      <c r="AP266" s="144"/>
      <c r="AQ266" s="144"/>
      <c r="AR266" s="144"/>
      <c r="AS266" s="144"/>
    </row>
    <row r="267">
      <c r="AL267" s="144"/>
      <c r="AM267" s="144"/>
      <c r="AN267" s="144"/>
      <c r="AO267" s="144"/>
      <c r="AP267" s="144"/>
      <c r="AQ267" s="144"/>
      <c r="AR267" s="144"/>
      <c r="AS267" s="144"/>
    </row>
    <row r="268">
      <c r="AL268" s="144"/>
      <c r="AM268" s="144"/>
      <c r="AN268" s="144"/>
      <c r="AO268" s="144"/>
      <c r="AP268" s="144"/>
      <c r="AQ268" s="144"/>
      <c r="AR268" s="144"/>
      <c r="AS268" s="144"/>
    </row>
    <row r="269">
      <c r="AL269" s="144"/>
      <c r="AM269" s="144"/>
      <c r="AN269" s="144"/>
      <c r="AO269" s="144"/>
      <c r="AP269" s="144"/>
      <c r="AQ269" s="144"/>
      <c r="AR269" s="144"/>
      <c r="AS269" s="144"/>
    </row>
    <row r="270">
      <c r="AL270" s="144"/>
      <c r="AM270" s="144"/>
      <c r="AN270" s="144"/>
      <c r="AO270" s="144"/>
      <c r="AP270" s="144"/>
      <c r="AQ270" s="144"/>
      <c r="AR270" s="144"/>
      <c r="AS270" s="144"/>
    </row>
    <row r="271">
      <c r="AL271" s="144"/>
      <c r="AM271" s="144"/>
      <c r="AN271" s="144"/>
      <c r="AO271" s="144"/>
      <c r="AP271" s="144"/>
      <c r="AQ271" s="144"/>
      <c r="AR271" s="144"/>
      <c r="AS271" s="144"/>
    </row>
    <row r="272">
      <c r="AL272" s="144"/>
      <c r="AM272" s="144"/>
      <c r="AN272" s="144"/>
      <c r="AO272" s="144"/>
      <c r="AP272" s="144"/>
      <c r="AQ272" s="144"/>
      <c r="AR272" s="144"/>
      <c r="AS272" s="144"/>
    </row>
    <row r="273">
      <c r="AL273" s="144"/>
      <c r="AM273" s="144"/>
      <c r="AN273" s="144"/>
      <c r="AO273" s="144"/>
      <c r="AP273" s="144"/>
      <c r="AQ273" s="144"/>
      <c r="AR273" s="144"/>
      <c r="AS273" s="144"/>
    </row>
    <row r="274">
      <c r="AL274" s="144"/>
      <c r="AM274" s="144"/>
      <c r="AN274" s="144"/>
      <c r="AO274" s="144"/>
      <c r="AP274" s="144"/>
      <c r="AQ274" s="144"/>
      <c r="AR274" s="144"/>
      <c r="AS274" s="144"/>
    </row>
    <row r="275">
      <c r="AL275" s="144"/>
      <c r="AM275" s="144"/>
      <c r="AN275" s="144"/>
      <c r="AO275" s="144"/>
      <c r="AP275" s="144"/>
      <c r="AQ275" s="144"/>
      <c r="AR275" s="144"/>
      <c r="AS275" s="144"/>
    </row>
    <row r="276">
      <c r="AL276" s="144"/>
      <c r="AM276" s="144"/>
      <c r="AN276" s="144"/>
      <c r="AO276" s="144"/>
      <c r="AP276" s="144"/>
      <c r="AQ276" s="144"/>
      <c r="AR276" s="144"/>
      <c r="AS276" s="144"/>
    </row>
    <row r="277">
      <c r="AL277" s="144"/>
      <c r="AM277" s="144"/>
      <c r="AN277" s="144"/>
      <c r="AO277" s="144"/>
      <c r="AP277" s="144"/>
      <c r="AQ277" s="144"/>
      <c r="AR277" s="144"/>
      <c r="AS277" s="144"/>
    </row>
    <row r="278">
      <c r="AL278" s="144"/>
      <c r="AM278" s="144"/>
      <c r="AN278" s="144"/>
      <c r="AO278" s="144"/>
      <c r="AP278" s="144"/>
      <c r="AQ278" s="144"/>
      <c r="AR278" s="144"/>
      <c r="AS278" s="144"/>
    </row>
    <row r="279">
      <c r="AL279" s="144"/>
      <c r="AM279" s="144"/>
      <c r="AN279" s="144"/>
      <c r="AO279" s="144"/>
      <c r="AP279" s="144"/>
      <c r="AQ279" s="144"/>
      <c r="AR279" s="144"/>
      <c r="AS279" s="144"/>
    </row>
    <row r="280">
      <c r="AL280" s="144"/>
      <c r="AM280" s="144"/>
      <c r="AN280" s="144"/>
      <c r="AO280" s="144"/>
      <c r="AP280" s="144"/>
      <c r="AQ280" s="144"/>
      <c r="AR280" s="144"/>
      <c r="AS280" s="144"/>
    </row>
    <row r="281">
      <c r="AL281" s="144"/>
      <c r="AM281" s="144"/>
      <c r="AN281" s="144"/>
      <c r="AO281" s="144"/>
      <c r="AP281" s="144"/>
      <c r="AQ281" s="144"/>
      <c r="AR281" s="144"/>
      <c r="AS281" s="144"/>
    </row>
    <row r="282">
      <c r="AL282" s="144"/>
      <c r="AM282" s="144"/>
      <c r="AN282" s="144"/>
      <c r="AO282" s="144"/>
      <c r="AP282" s="144"/>
      <c r="AQ282" s="144"/>
      <c r="AR282" s="144"/>
      <c r="AS282" s="144"/>
    </row>
    <row r="283">
      <c r="AL283" s="144"/>
      <c r="AM283" s="144"/>
      <c r="AN283" s="144"/>
      <c r="AO283" s="144"/>
      <c r="AP283" s="144"/>
      <c r="AQ283" s="144"/>
      <c r="AR283" s="144"/>
      <c r="AS283" s="144"/>
    </row>
    <row r="284">
      <c r="AL284" s="144"/>
      <c r="AM284" s="144"/>
      <c r="AN284" s="144"/>
      <c r="AO284" s="144"/>
      <c r="AP284" s="144"/>
      <c r="AQ284" s="144"/>
      <c r="AR284" s="144"/>
      <c r="AS284" s="144"/>
    </row>
    <row r="285">
      <c r="AL285" s="144"/>
      <c r="AM285" s="144"/>
      <c r="AN285" s="144"/>
      <c r="AO285" s="144"/>
      <c r="AP285" s="144"/>
      <c r="AQ285" s="144"/>
      <c r="AR285" s="144"/>
      <c r="AS285" s="144"/>
    </row>
    <row r="286">
      <c r="AL286" s="144"/>
      <c r="AM286" s="144"/>
      <c r="AN286" s="144"/>
      <c r="AO286" s="144"/>
      <c r="AP286" s="144"/>
      <c r="AQ286" s="144"/>
      <c r="AR286" s="144"/>
      <c r="AS286" s="144"/>
    </row>
    <row r="287">
      <c r="AL287" s="144"/>
      <c r="AM287" s="144"/>
      <c r="AN287" s="144"/>
      <c r="AO287" s="144"/>
      <c r="AP287" s="144"/>
      <c r="AQ287" s="144"/>
      <c r="AR287" s="144"/>
      <c r="AS287" s="144"/>
    </row>
    <row r="288">
      <c r="AL288" s="144"/>
      <c r="AM288" s="144"/>
      <c r="AN288" s="144"/>
      <c r="AO288" s="144"/>
      <c r="AP288" s="144"/>
      <c r="AQ288" s="144"/>
      <c r="AR288" s="144"/>
      <c r="AS288" s="144"/>
    </row>
    <row r="289">
      <c r="AL289" s="144"/>
      <c r="AM289" s="144"/>
      <c r="AN289" s="144"/>
      <c r="AO289" s="144"/>
      <c r="AP289" s="144"/>
      <c r="AQ289" s="144"/>
      <c r="AR289" s="144"/>
      <c r="AS289" s="144"/>
    </row>
    <row r="290">
      <c r="AL290" s="144"/>
      <c r="AM290" s="144"/>
      <c r="AN290" s="144"/>
      <c r="AO290" s="144"/>
      <c r="AP290" s="144"/>
      <c r="AQ290" s="144"/>
      <c r="AR290" s="144"/>
      <c r="AS290" s="144"/>
    </row>
    <row r="291">
      <c r="AL291" s="144"/>
      <c r="AM291" s="144"/>
      <c r="AN291" s="144"/>
      <c r="AO291" s="144"/>
      <c r="AP291" s="144"/>
      <c r="AQ291" s="144"/>
      <c r="AR291" s="144"/>
      <c r="AS291" s="144"/>
    </row>
    <row r="292">
      <c r="AL292" s="144"/>
      <c r="AM292" s="144"/>
      <c r="AN292" s="144"/>
      <c r="AO292" s="144"/>
      <c r="AP292" s="144"/>
      <c r="AQ292" s="144"/>
      <c r="AR292" s="144"/>
      <c r="AS292" s="144"/>
    </row>
    <row r="293">
      <c r="AL293" s="144"/>
      <c r="AM293" s="144"/>
      <c r="AN293" s="144"/>
      <c r="AO293" s="144"/>
      <c r="AP293" s="144"/>
      <c r="AQ293" s="144"/>
      <c r="AR293" s="144"/>
      <c r="AS293" s="144"/>
    </row>
    <row r="294">
      <c r="AL294" s="144"/>
      <c r="AM294" s="144"/>
      <c r="AN294" s="144"/>
      <c r="AO294" s="144"/>
      <c r="AP294" s="144"/>
      <c r="AQ294" s="144"/>
      <c r="AR294" s="144"/>
      <c r="AS294" s="144"/>
    </row>
    <row r="295">
      <c r="AL295" s="144"/>
      <c r="AM295" s="144"/>
      <c r="AN295" s="144"/>
      <c r="AO295" s="144"/>
      <c r="AP295" s="144"/>
      <c r="AQ295" s="144"/>
      <c r="AR295" s="144"/>
      <c r="AS295" s="144"/>
    </row>
    <row r="296">
      <c r="AL296" s="144"/>
      <c r="AM296" s="144"/>
      <c r="AN296" s="144"/>
      <c r="AO296" s="144"/>
      <c r="AP296" s="144"/>
      <c r="AQ296" s="144"/>
      <c r="AR296" s="144"/>
      <c r="AS296" s="144"/>
    </row>
    <row r="297">
      <c r="AL297" s="144"/>
      <c r="AM297" s="144"/>
      <c r="AN297" s="144"/>
      <c r="AO297" s="144"/>
      <c r="AP297" s="144"/>
      <c r="AQ297" s="144"/>
      <c r="AR297" s="144"/>
      <c r="AS297" s="144"/>
    </row>
    <row r="298">
      <c r="AL298" s="144"/>
      <c r="AM298" s="144"/>
      <c r="AN298" s="144"/>
      <c r="AO298" s="144"/>
      <c r="AP298" s="144"/>
      <c r="AQ298" s="144"/>
      <c r="AR298" s="144"/>
      <c r="AS298" s="144"/>
    </row>
    <row r="299">
      <c r="AL299" s="144"/>
      <c r="AM299" s="144"/>
      <c r="AN299" s="144"/>
      <c r="AO299" s="144"/>
      <c r="AP299" s="144"/>
      <c r="AQ299" s="144"/>
      <c r="AR299" s="144"/>
      <c r="AS299" s="144"/>
    </row>
    <row r="300">
      <c r="AL300" s="144"/>
      <c r="AM300" s="144"/>
      <c r="AN300" s="144"/>
      <c r="AO300" s="144"/>
      <c r="AP300" s="144"/>
      <c r="AQ300" s="144"/>
      <c r="AR300" s="144"/>
      <c r="AS300" s="144"/>
    </row>
    <row r="301">
      <c r="AL301" s="144"/>
      <c r="AM301" s="144"/>
      <c r="AN301" s="144"/>
      <c r="AO301" s="144"/>
      <c r="AP301" s="144"/>
      <c r="AQ301" s="144"/>
      <c r="AR301" s="144"/>
      <c r="AS301" s="144"/>
    </row>
    <row r="302">
      <c r="AL302" s="144"/>
      <c r="AM302" s="144"/>
      <c r="AN302" s="144"/>
      <c r="AO302" s="144"/>
      <c r="AP302" s="144"/>
      <c r="AQ302" s="144"/>
      <c r="AR302" s="144"/>
      <c r="AS302" s="144"/>
    </row>
    <row r="303">
      <c r="AL303" s="144"/>
      <c r="AM303" s="144"/>
      <c r="AN303" s="144"/>
      <c r="AO303" s="144"/>
      <c r="AP303" s="144"/>
      <c r="AQ303" s="144"/>
      <c r="AR303" s="144"/>
      <c r="AS303" s="144"/>
    </row>
    <row r="304">
      <c r="AL304" s="144"/>
      <c r="AM304" s="144"/>
      <c r="AN304" s="144"/>
      <c r="AO304" s="144"/>
      <c r="AP304" s="144"/>
      <c r="AQ304" s="144"/>
      <c r="AR304" s="144"/>
      <c r="AS304" s="144"/>
    </row>
    <row r="305">
      <c r="AL305" s="144"/>
      <c r="AM305" s="144"/>
      <c r="AN305" s="144"/>
      <c r="AO305" s="144"/>
      <c r="AP305" s="144"/>
      <c r="AQ305" s="144"/>
      <c r="AR305" s="144"/>
      <c r="AS305" s="144"/>
    </row>
    <row r="306">
      <c r="AL306" s="144"/>
      <c r="AM306" s="144"/>
      <c r="AN306" s="144"/>
      <c r="AO306" s="144"/>
      <c r="AP306" s="144"/>
      <c r="AQ306" s="144"/>
      <c r="AR306" s="144"/>
      <c r="AS306" s="144"/>
    </row>
    <row r="307">
      <c r="AL307" s="144"/>
      <c r="AM307" s="144"/>
      <c r="AN307" s="144"/>
      <c r="AO307" s="144"/>
      <c r="AP307" s="144"/>
      <c r="AQ307" s="144"/>
      <c r="AR307" s="144"/>
      <c r="AS307" s="144"/>
    </row>
    <row r="308">
      <c r="AL308" s="144"/>
      <c r="AM308" s="144"/>
      <c r="AN308" s="144"/>
      <c r="AO308" s="144"/>
      <c r="AP308" s="144"/>
      <c r="AQ308" s="144"/>
      <c r="AR308" s="144"/>
      <c r="AS308" s="144"/>
    </row>
    <row r="309">
      <c r="AL309" s="144"/>
      <c r="AM309" s="144"/>
      <c r="AN309" s="144"/>
      <c r="AO309" s="144"/>
      <c r="AP309" s="144"/>
      <c r="AQ309" s="144"/>
      <c r="AR309" s="144"/>
      <c r="AS309" s="144"/>
    </row>
    <row r="310">
      <c r="AL310" s="144"/>
      <c r="AM310" s="144"/>
      <c r="AN310" s="144"/>
      <c r="AO310" s="144"/>
      <c r="AP310" s="144"/>
      <c r="AQ310" s="144"/>
      <c r="AR310" s="144"/>
      <c r="AS310" s="144"/>
    </row>
    <row r="311">
      <c r="AL311" s="144"/>
      <c r="AM311" s="144"/>
      <c r="AN311" s="144"/>
      <c r="AO311" s="144"/>
      <c r="AP311" s="144"/>
      <c r="AQ311" s="144"/>
      <c r="AR311" s="144"/>
      <c r="AS311" s="144"/>
    </row>
    <row r="312">
      <c r="AL312" s="144"/>
      <c r="AM312" s="144"/>
      <c r="AN312" s="144"/>
      <c r="AO312" s="144"/>
      <c r="AP312" s="144"/>
      <c r="AQ312" s="144"/>
      <c r="AR312" s="144"/>
      <c r="AS312" s="144"/>
    </row>
    <row r="313">
      <c r="AL313" s="144"/>
      <c r="AM313" s="144"/>
      <c r="AN313" s="144"/>
      <c r="AO313" s="144"/>
      <c r="AP313" s="144"/>
      <c r="AQ313" s="144"/>
      <c r="AR313" s="144"/>
      <c r="AS313" s="144"/>
    </row>
    <row r="314">
      <c r="AL314" s="144"/>
      <c r="AM314" s="144"/>
      <c r="AN314" s="144"/>
      <c r="AO314" s="144"/>
      <c r="AP314" s="144"/>
      <c r="AQ314" s="144"/>
      <c r="AR314" s="144"/>
      <c r="AS314" s="144"/>
    </row>
    <row r="315">
      <c r="AL315" s="144"/>
      <c r="AM315" s="144"/>
      <c r="AN315" s="144"/>
      <c r="AO315" s="144"/>
      <c r="AP315" s="144"/>
      <c r="AQ315" s="144"/>
      <c r="AR315" s="144"/>
      <c r="AS315" s="144"/>
    </row>
    <row r="316">
      <c r="AL316" s="144"/>
      <c r="AM316" s="144"/>
      <c r="AN316" s="144"/>
      <c r="AO316" s="144"/>
      <c r="AP316" s="144"/>
      <c r="AQ316" s="144"/>
      <c r="AR316" s="144"/>
      <c r="AS316" s="144"/>
    </row>
    <row r="317">
      <c r="AL317" s="144"/>
      <c r="AM317" s="144"/>
      <c r="AN317" s="144"/>
      <c r="AO317" s="144"/>
      <c r="AP317" s="144"/>
      <c r="AQ317" s="144"/>
      <c r="AR317" s="144"/>
      <c r="AS317" s="144"/>
    </row>
    <row r="318">
      <c r="AL318" s="144"/>
      <c r="AM318" s="144"/>
      <c r="AN318" s="144"/>
      <c r="AO318" s="144"/>
      <c r="AP318" s="144"/>
      <c r="AQ318" s="144"/>
      <c r="AR318" s="144"/>
      <c r="AS318" s="144"/>
    </row>
    <row r="319">
      <c r="AL319" s="144"/>
      <c r="AM319" s="144"/>
      <c r="AN319" s="144"/>
      <c r="AO319" s="144"/>
      <c r="AP319" s="144"/>
      <c r="AQ319" s="144"/>
      <c r="AR319" s="144"/>
      <c r="AS319" s="144"/>
    </row>
    <row r="320">
      <c r="AL320" s="144"/>
      <c r="AM320" s="144"/>
      <c r="AN320" s="144"/>
      <c r="AO320" s="144"/>
      <c r="AP320" s="144"/>
      <c r="AQ320" s="144"/>
      <c r="AR320" s="144"/>
      <c r="AS320" s="144"/>
    </row>
    <row r="321">
      <c r="AL321" s="144"/>
      <c r="AM321" s="144"/>
      <c r="AN321" s="144"/>
      <c r="AO321" s="144"/>
      <c r="AP321" s="144"/>
      <c r="AQ321" s="144"/>
      <c r="AR321" s="144"/>
      <c r="AS321" s="144"/>
    </row>
    <row r="322">
      <c r="AL322" s="144"/>
      <c r="AM322" s="144"/>
      <c r="AN322" s="144"/>
      <c r="AO322" s="144"/>
      <c r="AP322" s="144"/>
      <c r="AQ322" s="144"/>
      <c r="AR322" s="144"/>
      <c r="AS322" s="144"/>
    </row>
    <row r="323">
      <c r="AL323" s="144"/>
      <c r="AM323" s="144"/>
      <c r="AN323" s="144"/>
      <c r="AO323" s="144"/>
      <c r="AP323" s="144"/>
      <c r="AQ323" s="144"/>
      <c r="AR323" s="144"/>
      <c r="AS323" s="144"/>
    </row>
    <row r="324">
      <c r="AL324" s="144"/>
      <c r="AM324" s="144"/>
      <c r="AN324" s="144"/>
      <c r="AO324" s="144"/>
      <c r="AP324" s="144"/>
      <c r="AQ324" s="144"/>
      <c r="AR324" s="144"/>
      <c r="AS324" s="144"/>
    </row>
    <row r="325">
      <c r="AL325" s="144"/>
      <c r="AM325" s="144"/>
      <c r="AN325" s="144"/>
      <c r="AO325" s="144"/>
      <c r="AP325" s="144"/>
      <c r="AQ325" s="144"/>
      <c r="AR325" s="144"/>
      <c r="AS325" s="144"/>
    </row>
    <row r="326">
      <c r="AL326" s="144"/>
      <c r="AM326" s="144"/>
      <c r="AN326" s="144"/>
      <c r="AO326" s="144"/>
      <c r="AP326" s="144"/>
      <c r="AQ326" s="144"/>
      <c r="AR326" s="144"/>
      <c r="AS326" s="144"/>
    </row>
    <row r="327">
      <c r="AL327" s="144"/>
      <c r="AM327" s="144"/>
      <c r="AN327" s="144"/>
      <c r="AO327" s="144"/>
      <c r="AP327" s="144"/>
      <c r="AQ327" s="144"/>
      <c r="AR327" s="144"/>
      <c r="AS327" s="144"/>
    </row>
    <row r="328">
      <c r="AL328" s="144"/>
      <c r="AM328" s="144"/>
      <c r="AN328" s="144"/>
      <c r="AO328" s="144"/>
      <c r="AP328" s="144"/>
      <c r="AQ328" s="144"/>
      <c r="AR328" s="144"/>
      <c r="AS328" s="144"/>
    </row>
    <row r="329">
      <c r="AL329" s="144"/>
      <c r="AM329" s="144"/>
      <c r="AN329" s="144"/>
      <c r="AO329" s="144"/>
      <c r="AP329" s="144"/>
      <c r="AQ329" s="144"/>
      <c r="AR329" s="144"/>
      <c r="AS329" s="144"/>
    </row>
    <row r="330">
      <c r="AL330" s="144"/>
      <c r="AM330" s="144"/>
      <c r="AN330" s="144"/>
      <c r="AO330" s="144"/>
      <c r="AP330" s="144"/>
      <c r="AQ330" s="144"/>
      <c r="AR330" s="144"/>
      <c r="AS330" s="144"/>
    </row>
    <row r="331">
      <c r="AL331" s="144"/>
      <c r="AM331" s="144"/>
      <c r="AN331" s="144"/>
      <c r="AO331" s="144"/>
      <c r="AP331" s="144"/>
      <c r="AQ331" s="144"/>
      <c r="AR331" s="144"/>
      <c r="AS331" s="144"/>
    </row>
    <row r="332">
      <c r="AL332" s="144"/>
      <c r="AM332" s="144"/>
      <c r="AN332" s="144"/>
      <c r="AO332" s="144"/>
      <c r="AP332" s="144"/>
      <c r="AQ332" s="144"/>
      <c r="AR332" s="144"/>
      <c r="AS332" s="144"/>
    </row>
    <row r="333">
      <c r="AL333" s="144"/>
      <c r="AM333" s="144"/>
      <c r="AN333" s="144"/>
      <c r="AO333" s="144"/>
      <c r="AP333" s="144"/>
      <c r="AQ333" s="144"/>
      <c r="AR333" s="144"/>
      <c r="AS333" s="144"/>
    </row>
    <row r="334">
      <c r="AL334" s="144"/>
      <c r="AM334" s="144"/>
      <c r="AN334" s="144"/>
      <c r="AO334" s="144"/>
      <c r="AP334" s="144"/>
      <c r="AQ334" s="144"/>
      <c r="AR334" s="144"/>
      <c r="AS334" s="144"/>
    </row>
    <row r="335">
      <c r="AL335" s="144"/>
      <c r="AM335" s="144"/>
      <c r="AN335" s="144"/>
      <c r="AO335" s="144"/>
      <c r="AP335" s="144"/>
      <c r="AQ335" s="144"/>
      <c r="AR335" s="144"/>
      <c r="AS335" s="144"/>
    </row>
    <row r="336">
      <c r="AL336" s="144"/>
      <c r="AM336" s="144"/>
      <c r="AN336" s="144"/>
      <c r="AO336" s="144"/>
      <c r="AP336" s="144"/>
      <c r="AQ336" s="144"/>
      <c r="AR336" s="144"/>
      <c r="AS336" s="144"/>
    </row>
    <row r="337">
      <c r="AL337" s="144"/>
      <c r="AM337" s="144"/>
      <c r="AN337" s="144"/>
      <c r="AO337" s="144"/>
      <c r="AP337" s="144"/>
      <c r="AQ337" s="144"/>
      <c r="AR337" s="144"/>
      <c r="AS337" s="144"/>
    </row>
    <row r="338">
      <c r="AL338" s="144"/>
      <c r="AM338" s="144"/>
      <c r="AN338" s="144"/>
      <c r="AO338" s="144"/>
      <c r="AP338" s="144"/>
      <c r="AQ338" s="144"/>
      <c r="AR338" s="144"/>
      <c r="AS338" s="144"/>
    </row>
    <row r="339">
      <c r="AL339" s="144"/>
      <c r="AM339" s="144"/>
      <c r="AN339" s="144"/>
      <c r="AO339" s="144"/>
      <c r="AP339" s="144"/>
      <c r="AQ339" s="144"/>
      <c r="AR339" s="144"/>
      <c r="AS339" s="144"/>
    </row>
    <row r="340">
      <c r="AL340" s="144"/>
      <c r="AM340" s="144"/>
      <c r="AN340" s="144"/>
      <c r="AO340" s="144"/>
      <c r="AP340" s="144"/>
      <c r="AQ340" s="144"/>
      <c r="AR340" s="144"/>
      <c r="AS340" s="144"/>
    </row>
    <row r="341">
      <c r="AL341" s="144"/>
      <c r="AM341" s="144"/>
      <c r="AN341" s="144"/>
      <c r="AO341" s="144"/>
      <c r="AP341" s="144"/>
      <c r="AQ341" s="144"/>
      <c r="AR341" s="144"/>
      <c r="AS341" s="144"/>
    </row>
    <row r="342">
      <c r="AL342" s="144"/>
      <c r="AM342" s="144"/>
      <c r="AN342" s="144"/>
      <c r="AO342" s="144"/>
      <c r="AP342" s="144"/>
      <c r="AQ342" s="144"/>
      <c r="AR342" s="144"/>
      <c r="AS342" s="144"/>
    </row>
    <row r="343">
      <c r="AL343" s="144"/>
      <c r="AM343" s="144"/>
      <c r="AN343" s="144"/>
      <c r="AO343" s="144"/>
      <c r="AP343" s="144"/>
      <c r="AQ343" s="144"/>
      <c r="AR343" s="144"/>
      <c r="AS343" s="144"/>
    </row>
    <row r="344">
      <c r="AL344" s="144"/>
      <c r="AM344" s="144"/>
      <c r="AN344" s="144"/>
      <c r="AO344" s="144"/>
      <c r="AP344" s="144"/>
      <c r="AQ344" s="144"/>
      <c r="AR344" s="144"/>
      <c r="AS344" s="144"/>
    </row>
    <row r="345">
      <c r="AL345" s="144"/>
      <c r="AM345" s="144"/>
      <c r="AN345" s="144"/>
      <c r="AO345" s="144"/>
      <c r="AP345" s="144"/>
      <c r="AQ345" s="144"/>
      <c r="AR345" s="144"/>
      <c r="AS345" s="144"/>
    </row>
    <row r="346">
      <c r="AL346" s="144"/>
      <c r="AM346" s="144"/>
      <c r="AN346" s="144"/>
      <c r="AO346" s="144"/>
      <c r="AP346" s="144"/>
      <c r="AQ346" s="144"/>
      <c r="AR346" s="144"/>
      <c r="AS346" s="144"/>
    </row>
    <row r="347">
      <c r="AL347" s="144"/>
      <c r="AM347" s="144"/>
      <c r="AN347" s="144"/>
      <c r="AO347" s="144"/>
      <c r="AP347" s="144"/>
      <c r="AQ347" s="144"/>
      <c r="AR347" s="144"/>
      <c r="AS347" s="144"/>
    </row>
    <row r="348">
      <c r="AL348" s="144"/>
      <c r="AM348" s="144"/>
      <c r="AN348" s="144"/>
      <c r="AO348" s="144"/>
      <c r="AP348" s="144"/>
      <c r="AQ348" s="144"/>
      <c r="AR348" s="144"/>
      <c r="AS348" s="144"/>
    </row>
    <row r="349">
      <c r="AL349" s="144"/>
      <c r="AM349" s="144"/>
      <c r="AN349" s="144"/>
      <c r="AO349" s="144"/>
      <c r="AP349" s="144"/>
      <c r="AQ349" s="144"/>
      <c r="AR349" s="144"/>
      <c r="AS349" s="144"/>
    </row>
    <row r="350">
      <c r="AL350" s="144"/>
      <c r="AM350" s="144"/>
      <c r="AN350" s="144"/>
      <c r="AO350" s="144"/>
      <c r="AP350" s="144"/>
      <c r="AQ350" s="144"/>
      <c r="AR350" s="144"/>
      <c r="AS350" s="144"/>
    </row>
    <row r="351">
      <c r="AL351" s="144"/>
      <c r="AM351" s="144"/>
      <c r="AN351" s="144"/>
      <c r="AO351" s="144"/>
      <c r="AP351" s="144"/>
      <c r="AQ351" s="144"/>
      <c r="AR351" s="144"/>
      <c r="AS351" s="144"/>
    </row>
    <row r="352">
      <c r="AL352" s="144"/>
      <c r="AM352" s="144"/>
      <c r="AN352" s="144"/>
      <c r="AO352" s="144"/>
      <c r="AP352" s="144"/>
      <c r="AQ352" s="144"/>
      <c r="AR352" s="144"/>
      <c r="AS352" s="144"/>
    </row>
    <row r="353">
      <c r="AL353" s="144"/>
      <c r="AM353" s="144"/>
      <c r="AN353" s="144"/>
      <c r="AO353" s="144"/>
      <c r="AP353" s="144"/>
      <c r="AQ353" s="144"/>
      <c r="AR353" s="144"/>
      <c r="AS353" s="144"/>
    </row>
    <row r="354">
      <c r="AL354" s="144"/>
      <c r="AM354" s="144"/>
      <c r="AN354" s="144"/>
      <c r="AO354" s="144"/>
      <c r="AP354" s="144"/>
      <c r="AQ354" s="144"/>
      <c r="AR354" s="144"/>
      <c r="AS354" s="144"/>
    </row>
    <row r="355">
      <c r="AL355" s="144"/>
      <c r="AM355" s="144"/>
      <c r="AN355" s="144"/>
      <c r="AO355" s="144"/>
      <c r="AP355" s="144"/>
      <c r="AQ355" s="144"/>
      <c r="AR355" s="144"/>
      <c r="AS355" s="144"/>
    </row>
    <row r="356">
      <c r="AL356" s="144"/>
      <c r="AM356" s="144"/>
      <c r="AN356" s="144"/>
      <c r="AO356" s="144"/>
      <c r="AP356" s="144"/>
      <c r="AQ356" s="144"/>
      <c r="AR356" s="144"/>
      <c r="AS356" s="144"/>
    </row>
    <row r="357">
      <c r="AL357" s="144"/>
      <c r="AM357" s="144"/>
      <c r="AN357" s="144"/>
      <c r="AO357" s="144"/>
      <c r="AP357" s="144"/>
      <c r="AQ357" s="144"/>
      <c r="AR357" s="144"/>
      <c r="AS357" s="144"/>
    </row>
    <row r="358">
      <c r="AL358" s="144"/>
      <c r="AM358" s="144"/>
      <c r="AN358" s="144"/>
      <c r="AO358" s="144"/>
      <c r="AP358" s="144"/>
      <c r="AQ358" s="144"/>
      <c r="AR358" s="144"/>
      <c r="AS358" s="144"/>
    </row>
    <row r="359">
      <c r="AL359" s="144"/>
      <c r="AM359" s="144"/>
      <c r="AN359" s="144"/>
      <c r="AO359" s="144"/>
      <c r="AP359" s="144"/>
      <c r="AQ359" s="144"/>
      <c r="AR359" s="144"/>
      <c r="AS359" s="144"/>
    </row>
    <row r="360">
      <c r="AL360" s="144"/>
      <c r="AM360" s="144"/>
      <c r="AN360" s="144"/>
      <c r="AO360" s="144"/>
      <c r="AP360" s="144"/>
      <c r="AQ360" s="144"/>
      <c r="AR360" s="144"/>
      <c r="AS360" s="144"/>
    </row>
    <row r="361">
      <c r="AL361" s="144"/>
      <c r="AM361" s="144"/>
      <c r="AN361" s="144"/>
      <c r="AO361" s="144"/>
      <c r="AP361" s="144"/>
      <c r="AQ361" s="144"/>
      <c r="AR361" s="144"/>
      <c r="AS361" s="144"/>
    </row>
    <row r="362">
      <c r="AL362" s="144"/>
      <c r="AM362" s="144"/>
      <c r="AN362" s="144"/>
      <c r="AO362" s="144"/>
      <c r="AP362" s="144"/>
      <c r="AQ362" s="144"/>
      <c r="AR362" s="144"/>
      <c r="AS362" s="144"/>
    </row>
    <row r="363">
      <c r="AL363" s="144"/>
      <c r="AM363" s="144"/>
      <c r="AN363" s="144"/>
      <c r="AO363" s="144"/>
      <c r="AP363" s="144"/>
      <c r="AQ363" s="144"/>
      <c r="AR363" s="144"/>
      <c r="AS363" s="144"/>
    </row>
    <row r="364">
      <c r="AL364" s="144"/>
      <c r="AM364" s="144"/>
      <c r="AN364" s="144"/>
      <c r="AO364" s="144"/>
      <c r="AP364" s="144"/>
      <c r="AQ364" s="144"/>
      <c r="AR364" s="144"/>
      <c r="AS364" s="144"/>
    </row>
    <row r="365">
      <c r="AL365" s="144"/>
      <c r="AM365" s="144"/>
      <c r="AN365" s="144"/>
      <c r="AO365" s="144"/>
      <c r="AP365" s="144"/>
      <c r="AQ365" s="144"/>
      <c r="AR365" s="144"/>
      <c r="AS365" s="144"/>
    </row>
    <row r="366">
      <c r="AL366" s="144"/>
      <c r="AM366" s="144"/>
      <c r="AN366" s="144"/>
      <c r="AO366" s="144"/>
      <c r="AP366" s="144"/>
      <c r="AQ366" s="144"/>
      <c r="AR366" s="144"/>
      <c r="AS366" s="144"/>
    </row>
    <row r="367">
      <c r="AL367" s="144"/>
      <c r="AM367" s="144"/>
      <c r="AN367" s="144"/>
      <c r="AO367" s="144"/>
      <c r="AP367" s="144"/>
      <c r="AQ367" s="144"/>
      <c r="AR367" s="144"/>
      <c r="AS367" s="144"/>
    </row>
    <row r="368">
      <c r="AL368" s="144"/>
      <c r="AM368" s="144"/>
      <c r="AN368" s="144"/>
      <c r="AO368" s="144"/>
      <c r="AP368" s="144"/>
      <c r="AQ368" s="144"/>
      <c r="AR368" s="144"/>
      <c r="AS368" s="144"/>
    </row>
    <row r="369">
      <c r="AL369" s="144"/>
      <c r="AM369" s="144"/>
      <c r="AN369" s="144"/>
      <c r="AO369" s="144"/>
      <c r="AP369" s="144"/>
      <c r="AQ369" s="144"/>
      <c r="AR369" s="144"/>
      <c r="AS369" s="144"/>
    </row>
    <row r="370">
      <c r="AL370" s="144"/>
      <c r="AM370" s="144"/>
      <c r="AN370" s="144"/>
      <c r="AO370" s="144"/>
      <c r="AP370" s="144"/>
      <c r="AQ370" s="144"/>
      <c r="AR370" s="144"/>
      <c r="AS370" s="144"/>
    </row>
    <row r="371">
      <c r="AL371" s="144"/>
      <c r="AM371" s="144"/>
      <c r="AN371" s="144"/>
      <c r="AO371" s="144"/>
      <c r="AP371" s="144"/>
      <c r="AQ371" s="144"/>
      <c r="AR371" s="144"/>
      <c r="AS371" s="144"/>
    </row>
    <row r="372">
      <c r="AL372" s="144"/>
      <c r="AM372" s="144"/>
      <c r="AN372" s="144"/>
      <c r="AO372" s="144"/>
      <c r="AP372" s="144"/>
      <c r="AQ372" s="144"/>
      <c r="AR372" s="144"/>
      <c r="AS372" s="144"/>
    </row>
    <row r="373">
      <c r="AL373" s="144"/>
      <c r="AM373" s="144"/>
      <c r="AN373" s="144"/>
      <c r="AO373" s="144"/>
      <c r="AP373" s="144"/>
      <c r="AQ373" s="144"/>
      <c r="AR373" s="144"/>
      <c r="AS373" s="144"/>
    </row>
    <row r="374">
      <c r="AL374" s="144"/>
      <c r="AM374" s="144"/>
      <c r="AN374" s="144"/>
      <c r="AO374" s="144"/>
      <c r="AP374" s="144"/>
      <c r="AQ374" s="144"/>
      <c r="AR374" s="144"/>
      <c r="AS374" s="144"/>
    </row>
    <row r="375">
      <c r="AL375" s="144"/>
      <c r="AM375" s="144"/>
      <c r="AN375" s="144"/>
      <c r="AO375" s="144"/>
      <c r="AP375" s="144"/>
      <c r="AQ375" s="144"/>
      <c r="AR375" s="144"/>
      <c r="AS375" s="144"/>
    </row>
    <row r="376">
      <c r="AL376" s="144"/>
      <c r="AM376" s="144"/>
      <c r="AN376" s="144"/>
      <c r="AO376" s="144"/>
      <c r="AP376" s="144"/>
      <c r="AQ376" s="144"/>
      <c r="AR376" s="144"/>
      <c r="AS376" s="144"/>
    </row>
    <row r="377">
      <c r="AL377" s="144"/>
      <c r="AM377" s="144"/>
      <c r="AN377" s="144"/>
      <c r="AO377" s="144"/>
      <c r="AP377" s="144"/>
      <c r="AQ377" s="144"/>
      <c r="AR377" s="144"/>
      <c r="AS377" s="144"/>
    </row>
    <row r="378">
      <c r="AL378" s="144"/>
      <c r="AM378" s="144"/>
      <c r="AN378" s="144"/>
      <c r="AO378" s="144"/>
      <c r="AP378" s="144"/>
      <c r="AQ378" s="144"/>
      <c r="AR378" s="144"/>
      <c r="AS378" s="144"/>
    </row>
    <row r="379">
      <c r="AL379" s="144"/>
      <c r="AM379" s="144"/>
      <c r="AN379" s="144"/>
      <c r="AO379" s="144"/>
      <c r="AP379" s="144"/>
      <c r="AQ379" s="144"/>
      <c r="AR379" s="144"/>
      <c r="AS379" s="144"/>
    </row>
    <row r="380">
      <c r="AL380" s="144"/>
      <c r="AM380" s="144"/>
      <c r="AN380" s="144"/>
      <c r="AO380" s="144"/>
      <c r="AP380" s="144"/>
      <c r="AQ380" s="144"/>
      <c r="AR380" s="144"/>
      <c r="AS380" s="144"/>
    </row>
    <row r="381">
      <c r="AL381" s="144"/>
      <c r="AM381" s="144"/>
      <c r="AN381" s="144"/>
      <c r="AO381" s="144"/>
      <c r="AP381" s="144"/>
      <c r="AQ381" s="144"/>
      <c r="AR381" s="144"/>
      <c r="AS381" s="144"/>
    </row>
    <row r="382">
      <c r="AL382" s="144"/>
      <c r="AM382" s="144"/>
      <c r="AN382" s="144"/>
      <c r="AO382" s="144"/>
      <c r="AP382" s="144"/>
      <c r="AQ382" s="144"/>
      <c r="AR382" s="144"/>
      <c r="AS382" s="144"/>
    </row>
    <row r="383">
      <c r="AL383" s="144"/>
      <c r="AM383" s="144"/>
      <c r="AN383" s="144"/>
      <c r="AO383" s="144"/>
      <c r="AP383" s="144"/>
      <c r="AQ383" s="144"/>
      <c r="AR383" s="144"/>
      <c r="AS383" s="144"/>
    </row>
    <row r="384">
      <c r="AL384" s="144"/>
      <c r="AM384" s="144"/>
      <c r="AN384" s="144"/>
      <c r="AO384" s="144"/>
      <c r="AP384" s="144"/>
      <c r="AQ384" s="144"/>
      <c r="AR384" s="144"/>
      <c r="AS384" s="144"/>
    </row>
    <row r="385">
      <c r="AL385" s="144"/>
      <c r="AM385" s="144"/>
      <c r="AN385" s="144"/>
      <c r="AO385" s="144"/>
      <c r="AP385" s="144"/>
      <c r="AQ385" s="144"/>
      <c r="AR385" s="144"/>
      <c r="AS385" s="144"/>
    </row>
    <row r="386">
      <c r="AL386" s="144"/>
      <c r="AM386" s="144"/>
      <c r="AN386" s="144"/>
      <c r="AO386" s="144"/>
      <c r="AP386" s="144"/>
      <c r="AQ386" s="144"/>
      <c r="AR386" s="144"/>
      <c r="AS386" s="144"/>
    </row>
    <row r="387">
      <c r="AL387" s="144"/>
      <c r="AM387" s="144"/>
      <c r="AN387" s="144"/>
      <c r="AO387" s="144"/>
      <c r="AP387" s="144"/>
      <c r="AQ387" s="144"/>
      <c r="AR387" s="144"/>
      <c r="AS387" s="144"/>
    </row>
    <row r="388">
      <c r="AL388" s="144"/>
      <c r="AM388" s="144"/>
      <c r="AN388" s="144"/>
      <c r="AO388" s="144"/>
      <c r="AP388" s="144"/>
      <c r="AQ388" s="144"/>
      <c r="AR388" s="144"/>
      <c r="AS388" s="144"/>
    </row>
    <row r="389">
      <c r="AL389" s="144"/>
      <c r="AM389" s="144"/>
      <c r="AN389" s="144"/>
      <c r="AO389" s="144"/>
      <c r="AP389" s="144"/>
      <c r="AQ389" s="144"/>
      <c r="AR389" s="144"/>
      <c r="AS389" s="144"/>
    </row>
    <row r="390">
      <c r="AL390" s="144"/>
      <c r="AM390" s="144"/>
      <c r="AN390" s="144"/>
      <c r="AO390" s="144"/>
      <c r="AP390" s="144"/>
      <c r="AQ390" s="144"/>
      <c r="AR390" s="144"/>
      <c r="AS390" s="144"/>
    </row>
    <row r="391">
      <c r="AL391" s="144"/>
      <c r="AM391" s="144"/>
      <c r="AN391" s="144"/>
      <c r="AO391" s="144"/>
      <c r="AP391" s="144"/>
      <c r="AQ391" s="144"/>
      <c r="AR391" s="144"/>
      <c r="AS391" s="144"/>
    </row>
    <row r="392">
      <c r="AL392" s="144"/>
      <c r="AM392" s="144"/>
      <c r="AN392" s="144"/>
      <c r="AO392" s="144"/>
      <c r="AP392" s="144"/>
      <c r="AQ392" s="144"/>
      <c r="AR392" s="144"/>
      <c r="AS392" s="144"/>
    </row>
    <row r="393">
      <c r="AL393" s="144"/>
      <c r="AM393" s="144"/>
      <c r="AN393" s="144"/>
      <c r="AO393" s="144"/>
      <c r="AP393" s="144"/>
      <c r="AQ393" s="144"/>
      <c r="AR393" s="144"/>
      <c r="AS393" s="144"/>
    </row>
    <row r="394">
      <c r="AL394" s="144"/>
      <c r="AM394" s="144"/>
      <c r="AN394" s="144"/>
      <c r="AO394" s="144"/>
      <c r="AP394" s="144"/>
      <c r="AQ394" s="144"/>
      <c r="AR394" s="144"/>
      <c r="AS394" s="144"/>
    </row>
    <row r="395">
      <c r="AL395" s="144"/>
      <c r="AM395" s="144"/>
      <c r="AN395" s="144"/>
      <c r="AO395" s="144"/>
      <c r="AP395" s="144"/>
      <c r="AQ395" s="144"/>
      <c r="AR395" s="144"/>
      <c r="AS395" s="144"/>
    </row>
    <row r="396">
      <c r="AL396" s="144"/>
      <c r="AM396" s="144"/>
      <c r="AN396" s="144"/>
      <c r="AO396" s="144"/>
      <c r="AP396" s="144"/>
      <c r="AQ396" s="144"/>
      <c r="AR396" s="144"/>
      <c r="AS396" s="144"/>
    </row>
    <row r="397">
      <c r="AL397" s="144"/>
      <c r="AM397" s="144"/>
      <c r="AN397" s="144"/>
      <c r="AO397" s="144"/>
      <c r="AP397" s="144"/>
      <c r="AQ397" s="144"/>
      <c r="AR397" s="144"/>
      <c r="AS397" s="144"/>
    </row>
    <row r="398">
      <c r="AL398" s="144"/>
      <c r="AM398" s="144"/>
      <c r="AN398" s="144"/>
      <c r="AO398" s="144"/>
      <c r="AP398" s="144"/>
      <c r="AQ398" s="144"/>
      <c r="AR398" s="144"/>
      <c r="AS398" s="144"/>
    </row>
    <row r="399">
      <c r="AL399" s="144"/>
      <c r="AM399" s="144"/>
      <c r="AN399" s="144"/>
      <c r="AO399" s="144"/>
      <c r="AP399" s="144"/>
      <c r="AQ399" s="144"/>
      <c r="AR399" s="144"/>
      <c r="AS399" s="144"/>
    </row>
    <row r="400">
      <c r="AL400" s="144"/>
      <c r="AM400" s="144"/>
      <c r="AN400" s="144"/>
      <c r="AO400" s="144"/>
      <c r="AP400" s="144"/>
      <c r="AQ400" s="144"/>
      <c r="AR400" s="144"/>
      <c r="AS400" s="144"/>
    </row>
    <row r="401">
      <c r="AL401" s="144"/>
      <c r="AM401" s="144"/>
      <c r="AN401" s="144"/>
      <c r="AO401" s="144"/>
      <c r="AP401" s="144"/>
      <c r="AQ401" s="144"/>
      <c r="AR401" s="144"/>
      <c r="AS401" s="144"/>
    </row>
    <row r="402">
      <c r="AL402" s="144"/>
      <c r="AM402" s="144"/>
      <c r="AN402" s="144"/>
      <c r="AO402" s="144"/>
      <c r="AP402" s="144"/>
      <c r="AQ402" s="144"/>
      <c r="AR402" s="144"/>
      <c r="AS402" s="144"/>
    </row>
    <row r="403">
      <c r="AL403" s="144"/>
      <c r="AM403" s="144"/>
      <c r="AN403" s="144"/>
      <c r="AO403" s="144"/>
      <c r="AP403" s="144"/>
      <c r="AQ403" s="144"/>
      <c r="AR403" s="144"/>
      <c r="AS403" s="144"/>
    </row>
    <row r="404">
      <c r="AL404" s="144"/>
      <c r="AM404" s="144"/>
      <c r="AN404" s="144"/>
      <c r="AO404" s="144"/>
      <c r="AP404" s="144"/>
      <c r="AQ404" s="144"/>
      <c r="AR404" s="144"/>
      <c r="AS404" s="144"/>
    </row>
    <row r="405">
      <c r="AL405" s="144"/>
      <c r="AM405" s="144"/>
      <c r="AN405" s="144"/>
      <c r="AO405" s="144"/>
      <c r="AP405" s="144"/>
      <c r="AQ405" s="144"/>
      <c r="AR405" s="144"/>
      <c r="AS405" s="144"/>
    </row>
    <row r="406">
      <c r="AL406" s="144"/>
      <c r="AM406" s="144"/>
      <c r="AN406" s="144"/>
      <c r="AO406" s="144"/>
      <c r="AP406" s="144"/>
      <c r="AQ406" s="144"/>
      <c r="AR406" s="144"/>
      <c r="AS406" s="144"/>
    </row>
    <row r="407">
      <c r="AL407" s="144"/>
      <c r="AM407" s="144"/>
      <c r="AN407" s="144"/>
      <c r="AO407" s="144"/>
      <c r="AP407" s="144"/>
      <c r="AQ407" s="144"/>
      <c r="AR407" s="144"/>
      <c r="AS407" s="144"/>
    </row>
    <row r="408">
      <c r="AL408" s="144"/>
      <c r="AM408" s="144"/>
      <c r="AN408" s="144"/>
      <c r="AO408" s="144"/>
      <c r="AP408" s="144"/>
      <c r="AQ408" s="144"/>
      <c r="AR408" s="144"/>
      <c r="AS408" s="144"/>
    </row>
    <row r="409">
      <c r="AL409" s="144"/>
      <c r="AM409" s="144"/>
      <c r="AN409" s="144"/>
      <c r="AO409" s="144"/>
      <c r="AP409" s="144"/>
      <c r="AQ409" s="144"/>
      <c r="AR409" s="144"/>
      <c r="AS409" s="144"/>
    </row>
    <row r="410">
      <c r="AL410" s="144"/>
      <c r="AM410" s="144"/>
      <c r="AN410" s="144"/>
      <c r="AO410" s="144"/>
      <c r="AP410" s="144"/>
      <c r="AQ410" s="144"/>
      <c r="AR410" s="144"/>
      <c r="AS410" s="144"/>
    </row>
    <row r="411">
      <c r="AL411" s="144"/>
      <c r="AM411" s="144"/>
      <c r="AN411" s="144"/>
      <c r="AO411" s="144"/>
      <c r="AP411" s="144"/>
      <c r="AQ411" s="144"/>
      <c r="AR411" s="144"/>
      <c r="AS411" s="144"/>
    </row>
    <row r="412">
      <c r="AL412" s="144"/>
      <c r="AM412" s="144"/>
      <c r="AN412" s="144"/>
      <c r="AO412" s="144"/>
      <c r="AP412" s="144"/>
      <c r="AQ412" s="144"/>
      <c r="AR412" s="144"/>
      <c r="AS412" s="144"/>
    </row>
    <row r="413">
      <c r="AL413" s="144"/>
      <c r="AM413" s="144"/>
      <c r="AN413" s="144"/>
      <c r="AO413" s="144"/>
      <c r="AP413" s="144"/>
      <c r="AQ413" s="144"/>
      <c r="AR413" s="144"/>
      <c r="AS413" s="144"/>
    </row>
    <row r="414">
      <c r="AL414" s="144"/>
      <c r="AM414" s="144"/>
      <c r="AN414" s="144"/>
      <c r="AO414" s="144"/>
      <c r="AP414" s="144"/>
      <c r="AQ414" s="144"/>
      <c r="AR414" s="144"/>
      <c r="AS414" s="144"/>
    </row>
    <row r="415">
      <c r="AL415" s="144"/>
      <c r="AM415" s="144"/>
      <c r="AN415" s="144"/>
      <c r="AO415" s="144"/>
      <c r="AP415" s="144"/>
      <c r="AQ415" s="144"/>
      <c r="AR415" s="144"/>
      <c r="AS415" s="144"/>
    </row>
    <row r="416">
      <c r="AL416" s="144"/>
      <c r="AM416" s="144"/>
      <c r="AN416" s="144"/>
      <c r="AO416" s="144"/>
      <c r="AP416" s="144"/>
      <c r="AQ416" s="144"/>
      <c r="AR416" s="144"/>
      <c r="AS416" s="144"/>
    </row>
    <row r="417">
      <c r="AL417" s="144"/>
      <c r="AM417" s="144"/>
      <c r="AN417" s="144"/>
      <c r="AO417" s="144"/>
      <c r="AP417" s="144"/>
      <c r="AQ417" s="144"/>
      <c r="AR417" s="144"/>
      <c r="AS417" s="144"/>
    </row>
    <row r="418">
      <c r="AL418" s="144"/>
      <c r="AM418" s="144"/>
      <c r="AN418" s="144"/>
      <c r="AO418" s="144"/>
      <c r="AP418" s="144"/>
      <c r="AQ418" s="144"/>
      <c r="AR418" s="144"/>
      <c r="AS418" s="144"/>
    </row>
    <row r="419">
      <c r="AL419" s="144"/>
      <c r="AM419" s="144"/>
      <c r="AN419" s="144"/>
      <c r="AO419" s="144"/>
      <c r="AP419" s="144"/>
      <c r="AQ419" s="144"/>
      <c r="AR419" s="144"/>
      <c r="AS419" s="144"/>
    </row>
    <row r="420">
      <c r="AL420" s="144"/>
      <c r="AM420" s="144"/>
      <c r="AN420" s="144"/>
      <c r="AO420" s="144"/>
      <c r="AP420" s="144"/>
      <c r="AQ420" s="144"/>
      <c r="AR420" s="144"/>
      <c r="AS420" s="144"/>
    </row>
    <row r="421">
      <c r="AL421" s="144"/>
      <c r="AM421" s="144"/>
      <c r="AN421" s="144"/>
      <c r="AO421" s="144"/>
      <c r="AP421" s="144"/>
      <c r="AQ421" s="144"/>
      <c r="AR421" s="144"/>
      <c r="AS421" s="144"/>
    </row>
    <row r="422">
      <c r="AL422" s="144"/>
      <c r="AM422" s="144"/>
      <c r="AN422" s="144"/>
      <c r="AO422" s="144"/>
      <c r="AP422" s="144"/>
      <c r="AQ422" s="144"/>
      <c r="AR422" s="144"/>
      <c r="AS422" s="144"/>
    </row>
    <row r="423">
      <c r="AL423" s="144"/>
      <c r="AM423" s="144"/>
      <c r="AN423" s="144"/>
      <c r="AO423" s="144"/>
      <c r="AP423" s="144"/>
      <c r="AQ423" s="144"/>
      <c r="AR423" s="144"/>
      <c r="AS423" s="144"/>
    </row>
    <row r="424">
      <c r="AL424" s="144"/>
      <c r="AM424" s="144"/>
      <c r="AN424" s="144"/>
      <c r="AO424" s="144"/>
      <c r="AP424" s="144"/>
      <c r="AQ424" s="144"/>
      <c r="AR424" s="144"/>
      <c r="AS424" s="144"/>
    </row>
    <row r="425">
      <c r="AL425" s="144"/>
      <c r="AM425" s="144"/>
      <c r="AN425" s="144"/>
      <c r="AO425" s="144"/>
      <c r="AP425" s="144"/>
      <c r="AQ425" s="144"/>
      <c r="AR425" s="144"/>
      <c r="AS425" s="144"/>
    </row>
    <row r="426">
      <c r="AL426" s="144"/>
      <c r="AM426" s="144"/>
      <c r="AN426" s="144"/>
      <c r="AO426" s="144"/>
      <c r="AP426" s="144"/>
      <c r="AQ426" s="144"/>
      <c r="AR426" s="144"/>
      <c r="AS426" s="144"/>
    </row>
    <row r="427">
      <c r="AL427" s="144"/>
      <c r="AM427" s="144"/>
      <c r="AN427" s="144"/>
      <c r="AO427" s="144"/>
      <c r="AP427" s="144"/>
      <c r="AQ427" s="144"/>
      <c r="AR427" s="144"/>
      <c r="AS427" s="144"/>
    </row>
    <row r="428">
      <c r="AL428" s="144"/>
      <c r="AM428" s="144"/>
      <c r="AN428" s="144"/>
      <c r="AO428" s="144"/>
      <c r="AP428" s="144"/>
      <c r="AQ428" s="144"/>
      <c r="AR428" s="144"/>
      <c r="AS428" s="144"/>
    </row>
    <row r="429">
      <c r="AL429" s="144"/>
      <c r="AM429" s="144"/>
      <c r="AN429" s="144"/>
      <c r="AO429" s="144"/>
      <c r="AP429" s="144"/>
      <c r="AQ429" s="144"/>
      <c r="AR429" s="144"/>
      <c r="AS429" s="144"/>
    </row>
    <row r="430">
      <c r="AL430" s="144"/>
      <c r="AM430" s="144"/>
      <c r="AN430" s="144"/>
      <c r="AO430" s="144"/>
      <c r="AP430" s="144"/>
      <c r="AQ430" s="144"/>
      <c r="AR430" s="144"/>
      <c r="AS430" s="144"/>
    </row>
    <row r="431">
      <c r="AL431" s="144"/>
      <c r="AM431" s="144"/>
      <c r="AN431" s="144"/>
      <c r="AO431" s="144"/>
      <c r="AP431" s="144"/>
      <c r="AQ431" s="144"/>
      <c r="AR431" s="144"/>
      <c r="AS431" s="144"/>
    </row>
    <row r="432">
      <c r="AL432" s="144"/>
      <c r="AM432" s="144"/>
      <c r="AN432" s="144"/>
      <c r="AO432" s="144"/>
      <c r="AP432" s="144"/>
      <c r="AQ432" s="144"/>
      <c r="AR432" s="144"/>
      <c r="AS432" s="144"/>
    </row>
    <row r="433">
      <c r="AL433" s="144"/>
      <c r="AM433" s="144"/>
      <c r="AN433" s="144"/>
      <c r="AO433" s="144"/>
      <c r="AP433" s="144"/>
      <c r="AQ433" s="144"/>
      <c r="AR433" s="144"/>
      <c r="AS433" s="144"/>
    </row>
    <row r="434">
      <c r="AL434" s="144"/>
      <c r="AM434" s="144"/>
      <c r="AN434" s="144"/>
      <c r="AO434" s="144"/>
      <c r="AP434" s="144"/>
      <c r="AQ434" s="144"/>
      <c r="AR434" s="144"/>
      <c r="AS434" s="144"/>
    </row>
    <row r="435">
      <c r="AL435" s="144"/>
      <c r="AM435" s="144"/>
      <c r="AN435" s="144"/>
      <c r="AO435" s="144"/>
      <c r="AP435" s="144"/>
      <c r="AQ435" s="144"/>
      <c r="AR435" s="144"/>
      <c r="AS435" s="144"/>
    </row>
    <row r="436">
      <c r="AL436" s="144"/>
      <c r="AM436" s="144"/>
      <c r="AN436" s="144"/>
      <c r="AO436" s="144"/>
      <c r="AP436" s="144"/>
      <c r="AQ436" s="144"/>
      <c r="AR436" s="144"/>
      <c r="AS436" s="144"/>
    </row>
    <row r="437">
      <c r="AL437" s="144"/>
      <c r="AM437" s="144"/>
      <c r="AN437" s="144"/>
      <c r="AO437" s="144"/>
      <c r="AP437" s="144"/>
      <c r="AQ437" s="144"/>
      <c r="AR437" s="144"/>
      <c r="AS437" s="144"/>
    </row>
    <row r="438">
      <c r="AL438" s="144"/>
      <c r="AM438" s="144"/>
      <c r="AN438" s="144"/>
      <c r="AO438" s="144"/>
      <c r="AP438" s="144"/>
      <c r="AQ438" s="144"/>
      <c r="AR438" s="144"/>
      <c r="AS438" s="144"/>
    </row>
    <row r="439">
      <c r="AL439" s="144"/>
      <c r="AM439" s="144"/>
      <c r="AN439" s="144"/>
      <c r="AO439" s="144"/>
      <c r="AP439" s="144"/>
      <c r="AQ439" s="144"/>
      <c r="AR439" s="144"/>
      <c r="AS439" s="144"/>
    </row>
    <row r="440">
      <c r="AL440" s="144"/>
      <c r="AM440" s="144"/>
      <c r="AN440" s="144"/>
      <c r="AO440" s="144"/>
      <c r="AP440" s="144"/>
      <c r="AQ440" s="144"/>
      <c r="AR440" s="144"/>
      <c r="AS440" s="144"/>
    </row>
    <row r="441">
      <c r="AL441" s="144"/>
      <c r="AM441" s="144"/>
      <c r="AN441" s="144"/>
      <c r="AO441" s="144"/>
      <c r="AP441" s="144"/>
      <c r="AQ441" s="144"/>
      <c r="AR441" s="144"/>
      <c r="AS441" s="144"/>
    </row>
    <row r="442">
      <c r="AL442" s="144"/>
      <c r="AM442" s="144"/>
      <c r="AN442" s="144"/>
      <c r="AO442" s="144"/>
      <c r="AP442" s="144"/>
      <c r="AQ442" s="144"/>
      <c r="AR442" s="144"/>
      <c r="AS442" s="144"/>
    </row>
    <row r="443">
      <c r="AL443" s="144"/>
      <c r="AM443" s="144"/>
      <c r="AN443" s="144"/>
      <c r="AO443" s="144"/>
      <c r="AP443" s="144"/>
      <c r="AQ443" s="144"/>
      <c r="AR443" s="144"/>
      <c r="AS443" s="144"/>
    </row>
    <row r="444">
      <c r="AL444" s="144"/>
      <c r="AM444" s="144"/>
      <c r="AN444" s="144"/>
      <c r="AO444" s="144"/>
      <c r="AP444" s="144"/>
      <c r="AQ444" s="144"/>
      <c r="AR444" s="144"/>
      <c r="AS444" s="144"/>
    </row>
    <row r="445">
      <c r="AL445" s="144"/>
      <c r="AM445" s="144"/>
      <c r="AN445" s="144"/>
      <c r="AO445" s="144"/>
      <c r="AP445" s="144"/>
      <c r="AQ445" s="144"/>
      <c r="AR445" s="144"/>
      <c r="AS445" s="144"/>
    </row>
    <row r="446">
      <c r="AL446" s="144"/>
      <c r="AM446" s="144"/>
      <c r="AN446" s="144"/>
      <c r="AO446" s="144"/>
      <c r="AP446" s="144"/>
      <c r="AQ446" s="144"/>
      <c r="AR446" s="144"/>
      <c r="AS446" s="144"/>
    </row>
    <row r="447">
      <c r="AL447" s="144"/>
      <c r="AM447" s="144"/>
      <c r="AN447" s="144"/>
      <c r="AO447" s="144"/>
      <c r="AP447" s="144"/>
      <c r="AQ447" s="144"/>
      <c r="AR447" s="144"/>
      <c r="AS447" s="144"/>
    </row>
    <row r="448">
      <c r="AL448" s="144"/>
      <c r="AM448" s="144"/>
      <c r="AN448" s="144"/>
      <c r="AO448" s="144"/>
      <c r="AP448" s="144"/>
      <c r="AQ448" s="144"/>
      <c r="AR448" s="144"/>
      <c r="AS448" s="144"/>
    </row>
    <row r="449">
      <c r="AL449" s="144"/>
      <c r="AM449" s="144"/>
      <c r="AN449" s="144"/>
      <c r="AO449" s="144"/>
      <c r="AP449" s="144"/>
      <c r="AQ449" s="144"/>
      <c r="AR449" s="144"/>
      <c r="AS449" s="144"/>
    </row>
    <row r="450">
      <c r="AL450" s="144"/>
      <c r="AM450" s="144"/>
      <c r="AN450" s="144"/>
      <c r="AO450" s="144"/>
      <c r="AP450" s="144"/>
      <c r="AQ450" s="144"/>
      <c r="AR450" s="144"/>
      <c r="AS450" s="144"/>
    </row>
    <row r="451">
      <c r="AL451" s="144"/>
      <c r="AM451" s="144"/>
      <c r="AN451" s="144"/>
      <c r="AO451" s="144"/>
      <c r="AP451" s="144"/>
      <c r="AQ451" s="144"/>
      <c r="AR451" s="144"/>
      <c r="AS451" s="144"/>
    </row>
    <row r="452">
      <c r="AL452" s="144"/>
      <c r="AM452" s="144"/>
      <c r="AN452" s="144"/>
      <c r="AO452" s="144"/>
      <c r="AP452" s="144"/>
      <c r="AQ452" s="144"/>
      <c r="AR452" s="144"/>
      <c r="AS452" s="144"/>
    </row>
    <row r="453">
      <c r="AL453" s="144"/>
      <c r="AM453" s="144"/>
      <c r="AN453" s="144"/>
      <c r="AO453" s="144"/>
      <c r="AP453" s="144"/>
      <c r="AQ453" s="144"/>
      <c r="AR453" s="144"/>
      <c r="AS453" s="144"/>
    </row>
    <row r="454">
      <c r="AL454" s="144"/>
      <c r="AM454" s="144"/>
      <c r="AN454" s="144"/>
      <c r="AO454" s="144"/>
      <c r="AP454" s="144"/>
      <c r="AQ454" s="144"/>
      <c r="AR454" s="144"/>
      <c r="AS454" s="144"/>
    </row>
    <row r="455">
      <c r="AL455" s="144"/>
      <c r="AM455" s="144"/>
      <c r="AN455" s="144"/>
      <c r="AO455" s="144"/>
      <c r="AP455" s="144"/>
      <c r="AQ455" s="144"/>
      <c r="AR455" s="144"/>
      <c r="AS455" s="144"/>
    </row>
    <row r="456">
      <c r="AL456" s="144"/>
      <c r="AM456" s="144"/>
      <c r="AN456" s="144"/>
      <c r="AO456" s="144"/>
      <c r="AP456" s="144"/>
      <c r="AQ456" s="144"/>
      <c r="AR456" s="144"/>
      <c r="AS456" s="144"/>
    </row>
    <row r="457">
      <c r="AL457" s="144"/>
      <c r="AM457" s="144"/>
      <c r="AN457" s="144"/>
      <c r="AO457" s="144"/>
      <c r="AP457" s="144"/>
      <c r="AQ457" s="144"/>
      <c r="AR457" s="144"/>
      <c r="AS457" s="144"/>
    </row>
    <row r="458">
      <c r="AL458" s="144"/>
      <c r="AM458" s="144"/>
      <c r="AN458" s="144"/>
      <c r="AO458" s="144"/>
      <c r="AP458" s="144"/>
      <c r="AQ458" s="144"/>
      <c r="AR458" s="144"/>
      <c r="AS458" s="144"/>
    </row>
    <row r="459">
      <c r="AL459" s="144"/>
      <c r="AM459" s="144"/>
      <c r="AN459" s="144"/>
      <c r="AO459" s="144"/>
      <c r="AP459" s="144"/>
      <c r="AQ459" s="144"/>
      <c r="AR459" s="144"/>
      <c r="AS459" s="144"/>
    </row>
    <row r="460">
      <c r="AL460" s="144"/>
      <c r="AM460" s="144"/>
      <c r="AN460" s="144"/>
      <c r="AO460" s="144"/>
      <c r="AP460" s="144"/>
      <c r="AQ460" s="144"/>
      <c r="AR460" s="144"/>
      <c r="AS460" s="144"/>
    </row>
    <row r="461">
      <c r="AL461" s="144"/>
      <c r="AM461" s="144"/>
      <c r="AN461" s="144"/>
      <c r="AO461" s="144"/>
      <c r="AP461" s="144"/>
      <c r="AQ461" s="144"/>
      <c r="AR461" s="144"/>
      <c r="AS461" s="144"/>
    </row>
    <row r="462">
      <c r="AL462" s="144"/>
      <c r="AM462" s="144"/>
      <c r="AN462" s="144"/>
      <c r="AO462" s="144"/>
      <c r="AP462" s="144"/>
      <c r="AQ462" s="144"/>
      <c r="AR462" s="144"/>
      <c r="AS462" s="144"/>
    </row>
    <row r="463">
      <c r="AL463" s="144"/>
      <c r="AM463" s="144"/>
      <c r="AN463" s="144"/>
      <c r="AO463" s="144"/>
      <c r="AP463" s="144"/>
      <c r="AQ463" s="144"/>
      <c r="AR463" s="144"/>
      <c r="AS463" s="144"/>
    </row>
    <row r="464">
      <c r="AL464" s="144"/>
      <c r="AM464" s="144"/>
      <c r="AN464" s="144"/>
      <c r="AO464" s="144"/>
      <c r="AP464" s="144"/>
      <c r="AQ464" s="144"/>
      <c r="AR464" s="144"/>
      <c r="AS464" s="144"/>
    </row>
    <row r="465">
      <c r="AL465" s="144"/>
      <c r="AM465" s="144"/>
      <c r="AN465" s="144"/>
      <c r="AO465" s="144"/>
      <c r="AP465" s="144"/>
      <c r="AQ465" s="144"/>
      <c r="AR465" s="144"/>
      <c r="AS465" s="144"/>
    </row>
    <row r="466">
      <c r="AL466" s="144"/>
      <c r="AM466" s="144"/>
      <c r="AN466" s="144"/>
      <c r="AO466" s="144"/>
      <c r="AP466" s="144"/>
      <c r="AQ466" s="144"/>
      <c r="AR466" s="144"/>
      <c r="AS466" s="144"/>
    </row>
    <row r="467">
      <c r="AL467" s="144"/>
      <c r="AM467" s="144"/>
      <c r="AN467" s="144"/>
      <c r="AO467" s="144"/>
      <c r="AP467" s="144"/>
      <c r="AQ467" s="144"/>
      <c r="AR467" s="144"/>
      <c r="AS467" s="144"/>
    </row>
    <row r="468">
      <c r="AL468" s="144"/>
      <c r="AM468" s="144"/>
      <c r="AN468" s="144"/>
      <c r="AO468" s="144"/>
      <c r="AP468" s="144"/>
      <c r="AQ468" s="144"/>
      <c r="AR468" s="144"/>
      <c r="AS468" s="144"/>
    </row>
    <row r="469">
      <c r="AL469" s="144"/>
      <c r="AM469" s="144"/>
      <c r="AN469" s="144"/>
      <c r="AO469" s="144"/>
      <c r="AP469" s="144"/>
      <c r="AQ469" s="144"/>
      <c r="AR469" s="144"/>
      <c r="AS469" s="144"/>
    </row>
    <row r="470">
      <c r="AL470" s="144"/>
      <c r="AM470" s="144"/>
      <c r="AN470" s="144"/>
      <c r="AO470" s="144"/>
      <c r="AP470" s="144"/>
      <c r="AQ470" s="144"/>
      <c r="AR470" s="144"/>
      <c r="AS470" s="144"/>
    </row>
    <row r="471">
      <c r="AL471" s="144"/>
      <c r="AM471" s="144"/>
      <c r="AN471" s="144"/>
      <c r="AO471" s="144"/>
      <c r="AP471" s="144"/>
      <c r="AQ471" s="144"/>
      <c r="AR471" s="144"/>
      <c r="AS471" s="144"/>
    </row>
    <row r="472">
      <c r="AL472" s="144"/>
      <c r="AM472" s="144"/>
      <c r="AN472" s="144"/>
      <c r="AO472" s="144"/>
      <c r="AP472" s="144"/>
      <c r="AQ472" s="144"/>
      <c r="AR472" s="144"/>
      <c r="AS472" s="144"/>
    </row>
    <row r="473">
      <c r="AL473" s="144"/>
      <c r="AM473" s="144"/>
      <c r="AN473" s="144"/>
      <c r="AO473" s="144"/>
      <c r="AP473" s="144"/>
      <c r="AQ473" s="144"/>
      <c r="AR473" s="144"/>
      <c r="AS473" s="144"/>
    </row>
    <row r="474">
      <c r="AL474" s="144"/>
      <c r="AM474" s="144"/>
      <c r="AN474" s="144"/>
      <c r="AO474" s="144"/>
      <c r="AP474" s="144"/>
      <c r="AQ474" s="144"/>
      <c r="AR474" s="144"/>
      <c r="AS474" s="144"/>
    </row>
    <row r="475">
      <c r="AL475" s="144"/>
      <c r="AM475" s="144"/>
      <c r="AN475" s="144"/>
      <c r="AO475" s="144"/>
      <c r="AP475" s="144"/>
      <c r="AQ475" s="144"/>
      <c r="AR475" s="144"/>
      <c r="AS475" s="144"/>
    </row>
    <row r="476">
      <c r="AL476" s="144"/>
      <c r="AM476" s="144"/>
      <c r="AN476" s="144"/>
      <c r="AO476" s="144"/>
      <c r="AP476" s="144"/>
      <c r="AQ476" s="144"/>
      <c r="AR476" s="144"/>
      <c r="AS476" s="144"/>
    </row>
    <row r="477">
      <c r="AL477" s="144"/>
      <c r="AM477" s="144"/>
      <c r="AN477" s="144"/>
      <c r="AO477" s="144"/>
      <c r="AP477" s="144"/>
      <c r="AQ477" s="144"/>
      <c r="AR477" s="144"/>
      <c r="AS477" s="144"/>
    </row>
    <row r="478">
      <c r="AL478" s="144"/>
      <c r="AM478" s="144"/>
      <c r="AN478" s="144"/>
      <c r="AO478" s="144"/>
      <c r="AP478" s="144"/>
      <c r="AQ478" s="144"/>
      <c r="AR478" s="144"/>
      <c r="AS478" s="144"/>
    </row>
    <row r="479">
      <c r="AL479" s="144"/>
      <c r="AM479" s="144"/>
      <c r="AN479" s="144"/>
      <c r="AO479" s="144"/>
      <c r="AP479" s="144"/>
      <c r="AQ479" s="144"/>
      <c r="AR479" s="144"/>
      <c r="AS479" s="144"/>
    </row>
    <row r="480">
      <c r="AL480" s="144"/>
      <c r="AM480" s="144"/>
      <c r="AN480" s="144"/>
      <c r="AO480" s="144"/>
      <c r="AP480" s="144"/>
      <c r="AQ480" s="144"/>
      <c r="AR480" s="144"/>
      <c r="AS480" s="144"/>
    </row>
    <row r="481">
      <c r="AL481" s="144"/>
      <c r="AM481" s="144"/>
      <c r="AN481" s="144"/>
      <c r="AO481" s="144"/>
      <c r="AP481" s="144"/>
      <c r="AQ481" s="144"/>
      <c r="AR481" s="144"/>
      <c r="AS481" s="144"/>
    </row>
    <row r="482">
      <c r="AL482" s="144"/>
      <c r="AM482" s="144"/>
      <c r="AN482" s="144"/>
      <c r="AO482" s="144"/>
      <c r="AP482" s="144"/>
      <c r="AQ482" s="144"/>
      <c r="AR482" s="144"/>
      <c r="AS482" s="144"/>
    </row>
    <row r="483">
      <c r="AL483" s="144"/>
      <c r="AM483" s="144"/>
      <c r="AN483" s="144"/>
      <c r="AO483" s="144"/>
      <c r="AP483" s="144"/>
      <c r="AQ483" s="144"/>
      <c r="AR483" s="144"/>
      <c r="AS483" s="144"/>
    </row>
    <row r="484">
      <c r="AL484" s="144"/>
      <c r="AM484" s="144"/>
      <c r="AN484" s="144"/>
      <c r="AO484" s="144"/>
      <c r="AP484" s="144"/>
      <c r="AQ484" s="144"/>
      <c r="AR484" s="144"/>
      <c r="AS484" s="144"/>
    </row>
    <row r="485">
      <c r="AL485" s="144"/>
      <c r="AM485" s="144"/>
      <c r="AN485" s="144"/>
      <c r="AO485" s="144"/>
      <c r="AP485" s="144"/>
      <c r="AQ485" s="144"/>
      <c r="AR485" s="144"/>
      <c r="AS485" s="144"/>
    </row>
    <row r="486">
      <c r="AL486" s="144"/>
      <c r="AM486" s="144"/>
      <c r="AN486" s="144"/>
      <c r="AO486" s="144"/>
      <c r="AP486" s="144"/>
      <c r="AQ486" s="144"/>
      <c r="AR486" s="144"/>
      <c r="AS486" s="144"/>
    </row>
    <row r="487">
      <c r="AL487" s="144"/>
      <c r="AM487" s="144"/>
      <c r="AN487" s="144"/>
      <c r="AO487" s="144"/>
      <c r="AP487" s="144"/>
      <c r="AQ487" s="144"/>
      <c r="AR487" s="144"/>
      <c r="AS487" s="144"/>
    </row>
    <row r="488">
      <c r="AL488" s="144"/>
      <c r="AM488" s="144"/>
      <c r="AN488" s="144"/>
      <c r="AO488" s="144"/>
      <c r="AP488" s="144"/>
      <c r="AQ488" s="144"/>
      <c r="AR488" s="144"/>
      <c r="AS488" s="144"/>
    </row>
    <row r="489">
      <c r="AL489" s="144"/>
      <c r="AM489" s="144"/>
      <c r="AN489" s="144"/>
      <c r="AO489" s="144"/>
      <c r="AP489" s="144"/>
      <c r="AQ489" s="144"/>
      <c r="AR489" s="144"/>
      <c r="AS489" s="144"/>
    </row>
    <row r="490">
      <c r="AL490" s="144"/>
      <c r="AM490" s="144"/>
      <c r="AN490" s="144"/>
      <c r="AO490" s="144"/>
      <c r="AP490" s="144"/>
      <c r="AQ490" s="144"/>
      <c r="AR490" s="144"/>
      <c r="AS490" s="144"/>
    </row>
    <row r="491">
      <c r="AL491" s="144"/>
      <c r="AM491" s="144"/>
      <c r="AN491" s="144"/>
      <c r="AO491" s="144"/>
      <c r="AP491" s="144"/>
      <c r="AQ491" s="144"/>
      <c r="AR491" s="144"/>
      <c r="AS491" s="144"/>
    </row>
    <row r="492">
      <c r="AL492" s="144"/>
      <c r="AM492" s="144"/>
      <c r="AN492" s="144"/>
      <c r="AO492" s="144"/>
      <c r="AP492" s="144"/>
      <c r="AQ492" s="144"/>
      <c r="AR492" s="144"/>
      <c r="AS492" s="144"/>
    </row>
    <row r="493">
      <c r="AL493" s="144"/>
      <c r="AM493" s="144"/>
      <c r="AN493" s="144"/>
      <c r="AO493" s="144"/>
      <c r="AP493" s="144"/>
      <c r="AQ493" s="144"/>
      <c r="AR493" s="144"/>
      <c r="AS493" s="144"/>
    </row>
    <row r="494">
      <c r="AL494" s="144"/>
      <c r="AM494" s="144"/>
      <c r="AN494" s="144"/>
      <c r="AO494" s="144"/>
      <c r="AP494" s="144"/>
      <c r="AQ494" s="144"/>
      <c r="AR494" s="144"/>
      <c r="AS494" s="144"/>
    </row>
    <row r="495">
      <c r="AL495" s="144"/>
      <c r="AM495" s="144"/>
      <c r="AN495" s="144"/>
      <c r="AO495" s="144"/>
      <c r="AP495" s="144"/>
      <c r="AQ495" s="144"/>
      <c r="AR495" s="144"/>
      <c r="AS495" s="144"/>
    </row>
    <row r="496">
      <c r="AL496" s="144"/>
      <c r="AM496" s="144"/>
      <c r="AN496" s="144"/>
      <c r="AO496" s="144"/>
      <c r="AP496" s="144"/>
      <c r="AQ496" s="144"/>
      <c r="AR496" s="144"/>
      <c r="AS496" s="144"/>
    </row>
    <row r="497">
      <c r="AL497" s="144"/>
      <c r="AM497" s="144"/>
      <c r="AN497" s="144"/>
      <c r="AO497" s="144"/>
      <c r="AP497" s="144"/>
      <c r="AQ497" s="144"/>
      <c r="AR497" s="144"/>
      <c r="AS497" s="144"/>
    </row>
    <row r="498">
      <c r="AL498" s="144"/>
      <c r="AM498" s="144"/>
      <c r="AN498" s="144"/>
      <c r="AO498" s="144"/>
      <c r="AP498" s="144"/>
      <c r="AQ498" s="144"/>
      <c r="AR498" s="144"/>
      <c r="AS498" s="144"/>
    </row>
    <row r="499">
      <c r="AL499" s="144"/>
      <c r="AM499" s="144"/>
      <c r="AN499" s="144"/>
      <c r="AO499" s="144"/>
      <c r="AP499" s="144"/>
      <c r="AQ499" s="144"/>
      <c r="AR499" s="144"/>
      <c r="AS499" s="144"/>
    </row>
    <row r="500">
      <c r="AL500" s="144"/>
      <c r="AM500" s="144"/>
      <c r="AN500" s="144"/>
      <c r="AO500" s="144"/>
      <c r="AP500" s="144"/>
      <c r="AQ500" s="144"/>
      <c r="AR500" s="144"/>
      <c r="AS500" s="144"/>
    </row>
    <row r="501">
      <c r="AL501" s="144"/>
      <c r="AM501" s="144"/>
      <c r="AN501" s="144"/>
      <c r="AO501" s="144"/>
      <c r="AP501" s="144"/>
      <c r="AQ501" s="144"/>
      <c r="AR501" s="144"/>
      <c r="AS501" s="144"/>
    </row>
    <row r="502">
      <c r="AL502" s="144"/>
      <c r="AM502" s="144"/>
      <c r="AN502" s="144"/>
      <c r="AO502" s="144"/>
      <c r="AP502" s="144"/>
      <c r="AQ502" s="144"/>
      <c r="AR502" s="144"/>
      <c r="AS502" s="144"/>
    </row>
    <row r="503">
      <c r="AL503" s="144"/>
      <c r="AM503" s="144"/>
      <c r="AN503" s="144"/>
      <c r="AO503" s="144"/>
      <c r="AP503" s="144"/>
      <c r="AQ503" s="144"/>
      <c r="AR503" s="144"/>
      <c r="AS503" s="144"/>
    </row>
    <row r="504">
      <c r="AL504" s="144"/>
      <c r="AM504" s="144"/>
      <c r="AN504" s="144"/>
      <c r="AO504" s="144"/>
      <c r="AP504" s="144"/>
      <c r="AQ504" s="144"/>
      <c r="AR504" s="144"/>
      <c r="AS504" s="144"/>
    </row>
    <row r="505">
      <c r="AL505" s="144"/>
      <c r="AM505" s="144"/>
      <c r="AN505" s="144"/>
      <c r="AO505" s="144"/>
      <c r="AP505" s="144"/>
      <c r="AQ505" s="144"/>
      <c r="AR505" s="144"/>
      <c r="AS505" s="144"/>
    </row>
    <row r="506">
      <c r="AL506" s="144"/>
      <c r="AM506" s="144"/>
      <c r="AN506" s="144"/>
      <c r="AO506" s="144"/>
      <c r="AP506" s="144"/>
      <c r="AQ506" s="144"/>
      <c r="AR506" s="144"/>
      <c r="AS506" s="144"/>
    </row>
    <row r="507">
      <c r="AL507" s="144"/>
      <c r="AM507" s="144"/>
      <c r="AN507" s="144"/>
      <c r="AO507" s="144"/>
      <c r="AP507" s="144"/>
      <c r="AQ507" s="144"/>
      <c r="AR507" s="144"/>
      <c r="AS507" s="144"/>
    </row>
    <row r="508">
      <c r="AL508" s="144"/>
      <c r="AM508" s="144"/>
      <c r="AN508" s="144"/>
      <c r="AO508" s="144"/>
      <c r="AP508" s="144"/>
      <c r="AQ508" s="144"/>
      <c r="AR508" s="144"/>
      <c r="AS508" s="144"/>
    </row>
    <row r="509">
      <c r="AL509" s="144"/>
      <c r="AM509" s="144"/>
      <c r="AN509" s="144"/>
      <c r="AO509" s="144"/>
      <c r="AP509" s="144"/>
      <c r="AQ509" s="144"/>
      <c r="AR509" s="144"/>
      <c r="AS509" s="144"/>
    </row>
    <row r="510">
      <c r="AL510" s="144"/>
      <c r="AM510" s="144"/>
      <c r="AN510" s="144"/>
      <c r="AO510" s="144"/>
      <c r="AP510" s="144"/>
      <c r="AQ510" s="144"/>
      <c r="AR510" s="144"/>
      <c r="AS510" s="144"/>
    </row>
    <row r="511">
      <c r="AL511" s="144"/>
      <c r="AM511" s="144"/>
      <c r="AN511" s="144"/>
      <c r="AO511" s="144"/>
      <c r="AP511" s="144"/>
      <c r="AQ511" s="144"/>
      <c r="AR511" s="144"/>
      <c r="AS511" s="144"/>
    </row>
    <row r="512">
      <c r="AL512" s="144"/>
      <c r="AM512" s="144"/>
      <c r="AN512" s="144"/>
      <c r="AO512" s="144"/>
      <c r="AP512" s="144"/>
      <c r="AQ512" s="144"/>
      <c r="AR512" s="144"/>
      <c r="AS512" s="144"/>
    </row>
    <row r="513">
      <c r="AL513" s="144"/>
      <c r="AM513" s="144"/>
      <c r="AN513" s="144"/>
      <c r="AO513" s="144"/>
      <c r="AP513" s="144"/>
      <c r="AQ513" s="144"/>
      <c r="AR513" s="144"/>
      <c r="AS513" s="144"/>
    </row>
    <row r="514">
      <c r="AL514" s="144"/>
      <c r="AM514" s="144"/>
      <c r="AN514" s="144"/>
      <c r="AO514" s="144"/>
      <c r="AP514" s="144"/>
      <c r="AQ514" s="144"/>
      <c r="AR514" s="144"/>
      <c r="AS514" s="144"/>
    </row>
    <row r="515">
      <c r="AL515" s="144"/>
      <c r="AM515" s="144"/>
      <c r="AN515" s="144"/>
      <c r="AO515" s="144"/>
      <c r="AP515" s="144"/>
      <c r="AQ515" s="144"/>
      <c r="AR515" s="144"/>
      <c r="AS515" s="144"/>
    </row>
    <row r="516">
      <c r="AL516" s="144"/>
      <c r="AM516" s="144"/>
      <c r="AN516" s="144"/>
      <c r="AO516" s="144"/>
      <c r="AP516" s="144"/>
      <c r="AQ516" s="144"/>
      <c r="AR516" s="144"/>
      <c r="AS516" s="144"/>
    </row>
    <row r="517">
      <c r="AL517" s="144"/>
      <c r="AM517" s="144"/>
      <c r="AN517" s="144"/>
      <c r="AO517" s="144"/>
      <c r="AP517" s="144"/>
      <c r="AQ517" s="144"/>
      <c r="AR517" s="144"/>
      <c r="AS517" s="144"/>
    </row>
    <row r="518">
      <c r="AL518" s="144"/>
      <c r="AM518" s="144"/>
      <c r="AN518" s="144"/>
      <c r="AO518" s="144"/>
      <c r="AP518" s="144"/>
      <c r="AQ518" s="144"/>
      <c r="AR518" s="144"/>
      <c r="AS518" s="144"/>
    </row>
    <row r="519">
      <c r="AL519" s="144"/>
      <c r="AM519" s="144"/>
      <c r="AN519" s="144"/>
      <c r="AO519" s="144"/>
      <c r="AP519" s="144"/>
      <c r="AQ519" s="144"/>
      <c r="AR519" s="144"/>
      <c r="AS519" s="144"/>
    </row>
    <row r="520">
      <c r="AL520" s="144"/>
      <c r="AM520" s="144"/>
      <c r="AN520" s="144"/>
      <c r="AO520" s="144"/>
      <c r="AP520" s="144"/>
      <c r="AQ520" s="144"/>
      <c r="AR520" s="144"/>
      <c r="AS520" s="144"/>
    </row>
    <row r="521">
      <c r="AL521" s="144"/>
      <c r="AM521" s="144"/>
      <c r="AN521" s="144"/>
      <c r="AO521" s="144"/>
      <c r="AP521" s="144"/>
      <c r="AQ521" s="144"/>
      <c r="AR521" s="144"/>
      <c r="AS521" s="144"/>
    </row>
    <row r="522">
      <c r="AL522" s="144"/>
      <c r="AM522" s="144"/>
      <c r="AN522" s="144"/>
      <c r="AO522" s="144"/>
      <c r="AP522" s="144"/>
      <c r="AQ522" s="144"/>
      <c r="AR522" s="144"/>
      <c r="AS522" s="144"/>
    </row>
    <row r="523">
      <c r="AL523" s="144"/>
      <c r="AM523" s="144"/>
      <c r="AN523" s="144"/>
      <c r="AO523" s="144"/>
      <c r="AP523" s="144"/>
      <c r="AQ523" s="144"/>
      <c r="AR523" s="144"/>
      <c r="AS523" s="144"/>
    </row>
    <row r="524">
      <c r="AL524" s="144"/>
      <c r="AM524" s="144"/>
      <c r="AN524" s="144"/>
      <c r="AO524" s="144"/>
      <c r="AP524" s="144"/>
      <c r="AQ524" s="144"/>
      <c r="AR524" s="144"/>
      <c r="AS524" s="144"/>
    </row>
    <row r="525">
      <c r="AL525" s="144"/>
      <c r="AM525" s="144"/>
      <c r="AN525" s="144"/>
      <c r="AO525" s="144"/>
      <c r="AP525" s="144"/>
      <c r="AQ525" s="144"/>
      <c r="AR525" s="144"/>
      <c r="AS525" s="144"/>
    </row>
    <row r="526">
      <c r="AL526" s="144"/>
      <c r="AM526" s="144"/>
      <c r="AN526" s="144"/>
      <c r="AO526" s="144"/>
      <c r="AP526" s="144"/>
      <c r="AQ526" s="144"/>
      <c r="AR526" s="144"/>
      <c r="AS526" s="144"/>
    </row>
    <row r="527">
      <c r="AL527" s="144"/>
      <c r="AM527" s="144"/>
      <c r="AN527" s="144"/>
      <c r="AO527" s="144"/>
      <c r="AP527" s="144"/>
      <c r="AQ527" s="144"/>
      <c r="AR527" s="144"/>
      <c r="AS527" s="144"/>
    </row>
    <row r="528">
      <c r="AL528" s="144"/>
      <c r="AM528" s="144"/>
      <c r="AN528" s="144"/>
      <c r="AO528" s="144"/>
      <c r="AP528" s="144"/>
      <c r="AQ528" s="144"/>
      <c r="AR528" s="144"/>
      <c r="AS528" s="144"/>
    </row>
    <row r="529">
      <c r="AL529" s="144"/>
      <c r="AM529" s="144"/>
      <c r="AN529" s="144"/>
      <c r="AO529" s="144"/>
      <c r="AP529" s="144"/>
      <c r="AQ529" s="144"/>
      <c r="AR529" s="144"/>
      <c r="AS529" s="144"/>
    </row>
    <row r="530">
      <c r="AL530" s="144"/>
      <c r="AM530" s="144"/>
      <c r="AN530" s="144"/>
      <c r="AO530" s="144"/>
      <c r="AP530" s="144"/>
      <c r="AQ530" s="144"/>
      <c r="AR530" s="144"/>
      <c r="AS530" s="144"/>
    </row>
    <row r="531">
      <c r="AL531" s="144"/>
      <c r="AM531" s="144"/>
      <c r="AN531" s="144"/>
      <c r="AO531" s="144"/>
      <c r="AP531" s="144"/>
      <c r="AQ531" s="144"/>
      <c r="AR531" s="144"/>
      <c r="AS531" s="144"/>
    </row>
    <row r="532">
      <c r="AL532" s="144"/>
      <c r="AM532" s="144"/>
      <c r="AN532" s="144"/>
      <c r="AO532" s="144"/>
      <c r="AP532" s="144"/>
      <c r="AQ532" s="144"/>
      <c r="AR532" s="144"/>
      <c r="AS532" s="144"/>
    </row>
    <row r="533">
      <c r="AL533" s="144"/>
      <c r="AM533" s="144"/>
      <c r="AN533" s="144"/>
      <c r="AO533" s="144"/>
      <c r="AP533" s="144"/>
      <c r="AQ533" s="144"/>
      <c r="AR533" s="144"/>
      <c r="AS533" s="144"/>
    </row>
    <row r="534">
      <c r="AL534" s="144"/>
      <c r="AM534" s="144"/>
      <c r="AN534" s="144"/>
      <c r="AO534" s="144"/>
      <c r="AP534" s="144"/>
      <c r="AQ534" s="144"/>
      <c r="AR534" s="144"/>
      <c r="AS534" s="144"/>
    </row>
    <row r="535">
      <c r="AL535" s="144"/>
      <c r="AM535" s="144"/>
      <c r="AN535" s="144"/>
      <c r="AO535" s="144"/>
      <c r="AP535" s="144"/>
      <c r="AQ535" s="144"/>
      <c r="AR535" s="144"/>
      <c r="AS535" s="144"/>
    </row>
    <row r="536">
      <c r="AL536" s="144"/>
      <c r="AM536" s="144"/>
      <c r="AN536" s="144"/>
      <c r="AO536" s="144"/>
      <c r="AP536" s="144"/>
      <c r="AQ536" s="144"/>
      <c r="AR536" s="144"/>
      <c r="AS536" s="144"/>
    </row>
    <row r="537">
      <c r="AL537" s="144"/>
      <c r="AM537" s="144"/>
      <c r="AN537" s="144"/>
      <c r="AO537" s="144"/>
      <c r="AP537" s="144"/>
      <c r="AQ537" s="144"/>
      <c r="AR537" s="144"/>
      <c r="AS537" s="144"/>
    </row>
    <row r="538">
      <c r="AL538" s="144"/>
      <c r="AM538" s="144"/>
      <c r="AN538" s="144"/>
      <c r="AO538" s="144"/>
      <c r="AP538" s="144"/>
      <c r="AQ538" s="144"/>
      <c r="AR538" s="144"/>
      <c r="AS538" s="144"/>
    </row>
    <row r="539">
      <c r="AL539" s="144"/>
      <c r="AM539" s="144"/>
      <c r="AN539" s="144"/>
      <c r="AO539" s="144"/>
      <c r="AP539" s="144"/>
      <c r="AQ539" s="144"/>
      <c r="AR539" s="144"/>
      <c r="AS539" s="144"/>
    </row>
    <row r="540">
      <c r="AL540" s="144"/>
      <c r="AM540" s="144"/>
      <c r="AN540" s="144"/>
      <c r="AO540" s="144"/>
      <c r="AP540" s="144"/>
      <c r="AQ540" s="144"/>
      <c r="AR540" s="144"/>
      <c r="AS540" s="144"/>
    </row>
    <row r="541">
      <c r="AL541" s="144"/>
      <c r="AM541" s="144"/>
      <c r="AN541" s="144"/>
      <c r="AO541" s="144"/>
      <c r="AP541" s="144"/>
      <c r="AQ541" s="144"/>
      <c r="AR541" s="144"/>
      <c r="AS541" s="144"/>
    </row>
    <row r="542">
      <c r="AL542" s="144"/>
      <c r="AM542" s="144"/>
      <c r="AN542" s="144"/>
      <c r="AO542" s="144"/>
      <c r="AP542" s="144"/>
      <c r="AQ542" s="144"/>
      <c r="AR542" s="144"/>
      <c r="AS542" s="144"/>
    </row>
    <row r="543">
      <c r="AL543" s="144"/>
      <c r="AM543" s="144"/>
      <c r="AN543" s="144"/>
      <c r="AO543" s="144"/>
      <c r="AP543" s="144"/>
      <c r="AQ543" s="144"/>
      <c r="AR543" s="144"/>
      <c r="AS543" s="144"/>
    </row>
    <row r="544">
      <c r="AL544" s="144"/>
      <c r="AM544" s="144"/>
      <c r="AN544" s="144"/>
      <c r="AO544" s="144"/>
      <c r="AP544" s="144"/>
      <c r="AQ544" s="144"/>
      <c r="AR544" s="144"/>
      <c r="AS544" s="144"/>
    </row>
    <row r="545">
      <c r="AL545" s="144"/>
      <c r="AM545" s="144"/>
      <c r="AN545" s="144"/>
      <c r="AO545" s="144"/>
      <c r="AP545" s="144"/>
      <c r="AQ545" s="144"/>
      <c r="AR545" s="144"/>
      <c r="AS545" s="144"/>
    </row>
    <row r="546">
      <c r="AL546" s="144"/>
      <c r="AM546" s="144"/>
      <c r="AN546" s="144"/>
      <c r="AO546" s="144"/>
      <c r="AP546" s="144"/>
      <c r="AQ546" s="144"/>
      <c r="AR546" s="144"/>
      <c r="AS546" s="144"/>
    </row>
    <row r="547">
      <c r="AL547" s="144"/>
      <c r="AM547" s="144"/>
      <c r="AN547" s="144"/>
      <c r="AO547" s="144"/>
      <c r="AP547" s="144"/>
      <c r="AQ547" s="144"/>
      <c r="AR547" s="144"/>
      <c r="AS547" s="144"/>
    </row>
    <row r="548">
      <c r="AL548" s="144"/>
      <c r="AM548" s="144"/>
      <c r="AN548" s="144"/>
      <c r="AO548" s="144"/>
      <c r="AP548" s="144"/>
      <c r="AQ548" s="144"/>
      <c r="AR548" s="144"/>
      <c r="AS548" s="144"/>
    </row>
    <row r="549">
      <c r="AL549" s="144"/>
      <c r="AM549" s="144"/>
      <c r="AN549" s="144"/>
      <c r="AO549" s="144"/>
      <c r="AP549" s="144"/>
      <c r="AQ549" s="144"/>
      <c r="AR549" s="144"/>
      <c r="AS549" s="144"/>
    </row>
    <row r="550">
      <c r="AL550" s="144"/>
      <c r="AM550" s="144"/>
      <c r="AN550" s="144"/>
      <c r="AO550" s="144"/>
      <c r="AP550" s="144"/>
      <c r="AQ550" s="144"/>
      <c r="AR550" s="144"/>
      <c r="AS550" s="144"/>
    </row>
    <row r="551">
      <c r="AL551" s="144"/>
      <c r="AM551" s="144"/>
      <c r="AN551" s="144"/>
      <c r="AO551" s="144"/>
      <c r="AP551" s="144"/>
      <c r="AQ551" s="144"/>
      <c r="AR551" s="144"/>
      <c r="AS551" s="144"/>
    </row>
    <row r="552">
      <c r="AL552" s="144"/>
      <c r="AM552" s="144"/>
      <c r="AN552" s="144"/>
      <c r="AO552" s="144"/>
      <c r="AP552" s="144"/>
      <c r="AQ552" s="144"/>
      <c r="AR552" s="144"/>
      <c r="AS552" s="144"/>
    </row>
    <row r="553">
      <c r="AL553" s="144"/>
      <c r="AM553" s="144"/>
      <c r="AN553" s="144"/>
      <c r="AO553" s="144"/>
      <c r="AP553" s="144"/>
      <c r="AQ553" s="144"/>
      <c r="AR553" s="144"/>
      <c r="AS553" s="144"/>
    </row>
    <row r="554">
      <c r="AL554" s="144"/>
      <c r="AM554" s="144"/>
      <c r="AN554" s="144"/>
      <c r="AO554" s="144"/>
      <c r="AP554" s="144"/>
      <c r="AQ554" s="144"/>
      <c r="AR554" s="144"/>
      <c r="AS554" s="144"/>
    </row>
    <row r="555">
      <c r="AL555" s="144"/>
      <c r="AM555" s="144"/>
      <c r="AN555" s="144"/>
      <c r="AO555" s="144"/>
      <c r="AP555" s="144"/>
      <c r="AQ555" s="144"/>
      <c r="AR555" s="144"/>
      <c r="AS555" s="144"/>
    </row>
    <row r="556">
      <c r="AL556" s="144"/>
      <c r="AM556" s="144"/>
      <c r="AN556" s="144"/>
      <c r="AO556" s="144"/>
      <c r="AP556" s="144"/>
      <c r="AQ556" s="144"/>
      <c r="AR556" s="144"/>
      <c r="AS556" s="144"/>
    </row>
    <row r="557">
      <c r="AL557" s="144"/>
      <c r="AM557" s="144"/>
      <c r="AN557" s="144"/>
      <c r="AO557" s="144"/>
      <c r="AP557" s="144"/>
      <c r="AQ557" s="144"/>
      <c r="AR557" s="144"/>
      <c r="AS557" s="144"/>
    </row>
    <row r="558">
      <c r="AL558" s="144"/>
      <c r="AM558" s="144"/>
      <c r="AN558" s="144"/>
      <c r="AO558" s="144"/>
      <c r="AP558" s="144"/>
      <c r="AQ558" s="144"/>
      <c r="AR558" s="144"/>
      <c r="AS558" s="144"/>
    </row>
    <row r="559">
      <c r="AL559" s="144"/>
      <c r="AM559" s="144"/>
      <c r="AN559" s="144"/>
      <c r="AO559" s="144"/>
      <c r="AP559" s="144"/>
      <c r="AQ559" s="144"/>
      <c r="AR559" s="144"/>
      <c r="AS559" s="144"/>
    </row>
    <row r="560">
      <c r="AL560" s="144"/>
      <c r="AM560" s="144"/>
      <c r="AN560" s="144"/>
      <c r="AO560" s="144"/>
      <c r="AP560" s="144"/>
      <c r="AQ560" s="144"/>
      <c r="AR560" s="144"/>
      <c r="AS560" s="144"/>
    </row>
    <row r="561">
      <c r="AL561" s="144"/>
      <c r="AM561" s="144"/>
      <c r="AN561" s="144"/>
      <c r="AO561" s="144"/>
      <c r="AP561" s="144"/>
      <c r="AQ561" s="144"/>
      <c r="AR561" s="144"/>
      <c r="AS561" s="144"/>
    </row>
    <row r="562">
      <c r="AL562" s="144"/>
      <c r="AM562" s="144"/>
      <c r="AN562" s="144"/>
      <c r="AO562" s="144"/>
      <c r="AP562" s="144"/>
      <c r="AQ562" s="144"/>
      <c r="AR562" s="144"/>
      <c r="AS562" s="144"/>
    </row>
    <row r="563">
      <c r="AL563" s="144"/>
      <c r="AM563" s="144"/>
      <c r="AN563" s="144"/>
      <c r="AO563" s="144"/>
      <c r="AP563" s="144"/>
      <c r="AQ563" s="144"/>
      <c r="AR563" s="144"/>
      <c r="AS563" s="144"/>
    </row>
    <row r="564">
      <c r="AL564" s="144"/>
      <c r="AM564" s="144"/>
      <c r="AN564" s="144"/>
      <c r="AO564" s="144"/>
      <c r="AP564" s="144"/>
      <c r="AQ564" s="144"/>
      <c r="AR564" s="144"/>
      <c r="AS564" s="144"/>
    </row>
    <row r="565">
      <c r="AL565" s="144"/>
      <c r="AM565" s="144"/>
      <c r="AN565" s="144"/>
      <c r="AO565" s="144"/>
      <c r="AP565" s="144"/>
      <c r="AQ565" s="144"/>
      <c r="AR565" s="144"/>
      <c r="AS565" s="144"/>
    </row>
    <row r="566">
      <c r="AL566" s="144"/>
      <c r="AM566" s="144"/>
      <c r="AN566" s="144"/>
      <c r="AO566" s="144"/>
      <c r="AP566" s="144"/>
      <c r="AQ566" s="144"/>
      <c r="AR566" s="144"/>
      <c r="AS566" s="144"/>
    </row>
    <row r="567">
      <c r="AL567" s="144"/>
      <c r="AM567" s="144"/>
      <c r="AN567" s="144"/>
      <c r="AO567" s="144"/>
      <c r="AP567" s="144"/>
      <c r="AQ567" s="144"/>
      <c r="AR567" s="144"/>
      <c r="AS567" s="144"/>
    </row>
    <row r="568">
      <c r="AL568" s="144"/>
      <c r="AM568" s="144"/>
      <c r="AN568" s="144"/>
      <c r="AO568" s="144"/>
      <c r="AP568" s="144"/>
      <c r="AQ568" s="144"/>
      <c r="AR568" s="144"/>
      <c r="AS568" s="144"/>
    </row>
    <row r="569">
      <c r="AL569" s="144"/>
      <c r="AM569" s="144"/>
      <c r="AN569" s="144"/>
      <c r="AO569" s="144"/>
      <c r="AP569" s="144"/>
      <c r="AQ569" s="144"/>
      <c r="AR569" s="144"/>
      <c r="AS569" s="144"/>
    </row>
    <row r="570">
      <c r="AL570" s="144"/>
      <c r="AM570" s="144"/>
      <c r="AN570" s="144"/>
      <c r="AO570" s="144"/>
      <c r="AP570" s="144"/>
      <c r="AQ570" s="144"/>
      <c r="AR570" s="144"/>
      <c r="AS570" s="144"/>
    </row>
    <row r="571">
      <c r="AL571" s="144"/>
      <c r="AM571" s="144"/>
      <c r="AN571" s="144"/>
      <c r="AO571" s="144"/>
      <c r="AP571" s="144"/>
      <c r="AQ571" s="144"/>
      <c r="AR571" s="144"/>
      <c r="AS571" s="144"/>
    </row>
    <row r="572">
      <c r="AL572" s="144"/>
      <c r="AM572" s="144"/>
      <c r="AN572" s="144"/>
      <c r="AO572" s="144"/>
      <c r="AP572" s="144"/>
      <c r="AQ572" s="144"/>
      <c r="AR572" s="144"/>
      <c r="AS572" s="144"/>
    </row>
    <row r="573">
      <c r="AL573" s="144"/>
      <c r="AM573" s="144"/>
      <c r="AN573" s="144"/>
      <c r="AO573" s="144"/>
      <c r="AP573" s="144"/>
      <c r="AQ573" s="144"/>
      <c r="AR573" s="144"/>
      <c r="AS573" s="144"/>
    </row>
    <row r="574">
      <c r="AL574" s="144"/>
      <c r="AM574" s="144"/>
      <c r="AN574" s="144"/>
      <c r="AO574" s="144"/>
      <c r="AP574" s="144"/>
      <c r="AQ574" s="144"/>
      <c r="AR574" s="144"/>
      <c r="AS574" s="144"/>
    </row>
    <row r="575">
      <c r="AL575" s="144"/>
      <c r="AM575" s="144"/>
      <c r="AN575" s="144"/>
      <c r="AO575" s="144"/>
      <c r="AP575" s="144"/>
      <c r="AQ575" s="144"/>
      <c r="AR575" s="144"/>
      <c r="AS575" s="144"/>
    </row>
    <row r="576">
      <c r="AL576" s="144"/>
      <c r="AM576" s="144"/>
      <c r="AN576" s="144"/>
      <c r="AO576" s="144"/>
      <c r="AP576" s="144"/>
      <c r="AQ576" s="144"/>
      <c r="AR576" s="144"/>
      <c r="AS576" s="144"/>
    </row>
    <row r="577">
      <c r="AL577" s="144"/>
      <c r="AM577" s="144"/>
      <c r="AN577" s="144"/>
      <c r="AO577" s="144"/>
      <c r="AP577" s="144"/>
      <c r="AQ577" s="144"/>
      <c r="AR577" s="144"/>
      <c r="AS577" s="144"/>
    </row>
    <row r="578">
      <c r="AL578" s="144"/>
      <c r="AM578" s="144"/>
      <c r="AN578" s="144"/>
      <c r="AO578" s="144"/>
      <c r="AP578" s="144"/>
      <c r="AQ578" s="144"/>
      <c r="AR578" s="144"/>
      <c r="AS578" s="144"/>
    </row>
    <row r="579">
      <c r="AL579" s="144"/>
      <c r="AM579" s="144"/>
      <c r="AN579" s="144"/>
      <c r="AO579" s="144"/>
      <c r="AP579" s="144"/>
      <c r="AQ579" s="144"/>
      <c r="AR579" s="144"/>
      <c r="AS579" s="144"/>
    </row>
    <row r="580">
      <c r="AL580" s="144"/>
      <c r="AM580" s="144"/>
      <c r="AN580" s="144"/>
      <c r="AO580" s="144"/>
      <c r="AP580" s="144"/>
      <c r="AQ580" s="144"/>
      <c r="AR580" s="144"/>
      <c r="AS580" s="144"/>
    </row>
    <row r="581">
      <c r="AL581" s="144"/>
      <c r="AM581" s="144"/>
      <c r="AN581" s="144"/>
      <c r="AO581" s="144"/>
      <c r="AP581" s="144"/>
      <c r="AQ581" s="144"/>
      <c r="AR581" s="144"/>
      <c r="AS581" s="144"/>
    </row>
    <row r="582">
      <c r="AL582" s="144"/>
      <c r="AM582" s="144"/>
      <c r="AN582" s="144"/>
      <c r="AO582" s="144"/>
      <c r="AP582" s="144"/>
      <c r="AQ582" s="144"/>
      <c r="AR582" s="144"/>
      <c r="AS582" s="144"/>
    </row>
    <row r="583">
      <c r="AL583" s="144"/>
      <c r="AM583" s="144"/>
      <c r="AN583" s="144"/>
      <c r="AO583" s="144"/>
      <c r="AP583" s="144"/>
      <c r="AQ583" s="144"/>
      <c r="AR583" s="144"/>
      <c r="AS583" s="144"/>
    </row>
    <row r="584">
      <c r="AL584" s="144"/>
      <c r="AM584" s="144"/>
      <c r="AN584" s="144"/>
      <c r="AO584" s="144"/>
      <c r="AP584" s="144"/>
      <c r="AQ584" s="144"/>
      <c r="AR584" s="144"/>
      <c r="AS584" s="144"/>
    </row>
    <row r="585">
      <c r="AL585" s="144"/>
      <c r="AM585" s="144"/>
      <c r="AN585" s="144"/>
      <c r="AO585" s="144"/>
      <c r="AP585" s="144"/>
      <c r="AQ585" s="144"/>
      <c r="AR585" s="144"/>
      <c r="AS585" s="144"/>
    </row>
    <row r="586">
      <c r="AL586" s="144"/>
      <c r="AM586" s="144"/>
      <c r="AN586" s="144"/>
      <c r="AO586" s="144"/>
      <c r="AP586" s="144"/>
      <c r="AQ586" s="144"/>
      <c r="AR586" s="144"/>
      <c r="AS586" s="144"/>
    </row>
    <row r="587">
      <c r="AL587" s="144"/>
      <c r="AM587" s="144"/>
      <c r="AN587" s="144"/>
      <c r="AO587" s="144"/>
      <c r="AP587" s="144"/>
      <c r="AQ587" s="144"/>
      <c r="AR587" s="144"/>
      <c r="AS587" s="144"/>
    </row>
    <row r="588">
      <c r="AL588" s="144"/>
      <c r="AM588" s="144"/>
      <c r="AN588" s="144"/>
      <c r="AO588" s="144"/>
      <c r="AP588" s="144"/>
      <c r="AQ588" s="144"/>
      <c r="AR588" s="144"/>
      <c r="AS588" s="144"/>
    </row>
    <row r="589">
      <c r="AL589" s="144"/>
      <c r="AM589" s="144"/>
      <c r="AN589" s="144"/>
      <c r="AO589" s="144"/>
      <c r="AP589" s="144"/>
      <c r="AQ589" s="144"/>
      <c r="AR589" s="144"/>
      <c r="AS589" s="144"/>
    </row>
    <row r="590">
      <c r="AL590" s="144"/>
      <c r="AM590" s="144"/>
      <c r="AN590" s="144"/>
      <c r="AO590" s="144"/>
      <c r="AP590" s="144"/>
      <c r="AQ590" s="144"/>
      <c r="AR590" s="144"/>
      <c r="AS590" s="144"/>
    </row>
    <row r="591">
      <c r="AL591" s="144"/>
      <c r="AM591" s="144"/>
      <c r="AN591" s="144"/>
      <c r="AO591" s="144"/>
      <c r="AP591" s="144"/>
      <c r="AQ591" s="144"/>
      <c r="AR591" s="144"/>
      <c r="AS591" s="144"/>
    </row>
    <row r="592">
      <c r="AL592" s="144"/>
      <c r="AM592" s="144"/>
      <c r="AN592" s="144"/>
      <c r="AO592" s="144"/>
      <c r="AP592" s="144"/>
      <c r="AQ592" s="144"/>
      <c r="AR592" s="144"/>
      <c r="AS592" s="144"/>
    </row>
    <row r="593">
      <c r="AL593" s="144"/>
      <c r="AM593" s="144"/>
      <c r="AN593" s="144"/>
      <c r="AO593" s="144"/>
      <c r="AP593" s="144"/>
      <c r="AQ593" s="144"/>
      <c r="AR593" s="144"/>
      <c r="AS593" s="144"/>
    </row>
    <row r="594">
      <c r="AL594" s="144"/>
      <c r="AM594" s="144"/>
      <c r="AN594" s="144"/>
      <c r="AO594" s="144"/>
      <c r="AP594" s="144"/>
      <c r="AQ594" s="144"/>
      <c r="AR594" s="144"/>
      <c r="AS594" s="144"/>
    </row>
    <row r="595">
      <c r="AL595" s="144"/>
      <c r="AM595" s="144"/>
      <c r="AN595" s="144"/>
      <c r="AO595" s="144"/>
      <c r="AP595" s="144"/>
      <c r="AQ595" s="144"/>
      <c r="AR595" s="144"/>
      <c r="AS595" s="144"/>
    </row>
    <row r="596">
      <c r="AL596" s="144"/>
      <c r="AM596" s="144"/>
      <c r="AN596" s="144"/>
      <c r="AO596" s="144"/>
      <c r="AP596" s="144"/>
      <c r="AQ596" s="144"/>
      <c r="AR596" s="144"/>
      <c r="AS596" s="144"/>
    </row>
    <row r="597">
      <c r="AL597" s="144"/>
      <c r="AM597" s="144"/>
      <c r="AN597" s="144"/>
      <c r="AO597" s="144"/>
      <c r="AP597" s="144"/>
      <c r="AQ597" s="144"/>
      <c r="AR597" s="144"/>
      <c r="AS597" s="144"/>
    </row>
    <row r="598">
      <c r="AL598" s="144"/>
      <c r="AM598" s="144"/>
      <c r="AN598" s="144"/>
      <c r="AO598" s="144"/>
      <c r="AP598" s="144"/>
      <c r="AQ598" s="144"/>
      <c r="AR598" s="144"/>
      <c r="AS598" s="144"/>
    </row>
    <row r="599">
      <c r="AL599" s="144"/>
      <c r="AM599" s="144"/>
      <c r="AN599" s="144"/>
      <c r="AO599" s="144"/>
      <c r="AP599" s="144"/>
      <c r="AQ599" s="144"/>
      <c r="AR599" s="144"/>
      <c r="AS599" s="144"/>
    </row>
    <row r="600">
      <c r="AL600" s="144"/>
      <c r="AM600" s="144"/>
      <c r="AN600" s="144"/>
      <c r="AO600" s="144"/>
      <c r="AP600" s="144"/>
      <c r="AQ600" s="144"/>
      <c r="AR600" s="144"/>
      <c r="AS600" s="144"/>
    </row>
    <row r="601">
      <c r="AL601" s="144"/>
      <c r="AM601" s="144"/>
      <c r="AN601" s="144"/>
      <c r="AO601" s="144"/>
      <c r="AP601" s="144"/>
      <c r="AQ601" s="144"/>
      <c r="AR601" s="144"/>
      <c r="AS601" s="144"/>
    </row>
    <row r="602">
      <c r="AL602" s="144"/>
      <c r="AM602" s="144"/>
      <c r="AN602" s="144"/>
      <c r="AO602" s="144"/>
      <c r="AP602" s="144"/>
      <c r="AQ602" s="144"/>
      <c r="AR602" s="144"/>
      <c r="AS602" s="144"/>
    </row>
    <row r="603">
      <c r="AL603" s="144"/>
      <c r="AM603" s="144"/>
      <c r="AN603" s="144"/>
      <c r="AO603" s="144"/>
      <c r="AP603" s="144"/>
      <c r="AQ603" s="144"/>
      <c r="AR603" s="144"/>
      <c r="AS603" s="144"/>
    </row>
    <row r="604">
      <c r="AL604" s="144"/>
      <c r="AM604" s="144"/>
      <c r="AN604" s="144"/>
      <c r="AO604" s="144"/>
      <c r="AP604" s="144"/>
      <c r="AQ604" s="144"/>
      <c r="AR604" s="144"/>
      <c r="AS604" s="144"/>
    </row>
    <row r="605">
      <c r="AL605" s="144"/>
      <c r="AM605" s="144"/>
      <c r="AN605" s="144"/>
      <c r="AO605" s="144"/>
      <c r="AP605" s="144"/>
      <c r="AQ605" s="144"/>
      <c r="AR605" s="144"/>
      <c r="AS605" s="144"/>
    </row>
    <row r="606">
      <c r="AL606" s="144"/>
      <c r="AM606" s="144"/>
      <c r="AN606" s="144"/>
      <c r="AO606" s="144"/>
      <c r="AP606" s="144"/>
      <c r="AQ606" s="144"/>
      <c r="AR606" s="144"/>
      <c r="AS606" s="144"/>
    </row>
    <row r="607">
      <c r="AL607" s="144"/>
      <c r="AM607" s="144"/>
      <c r="AN607" s="144"/>
      <c r="AO607" s="144"/>
      <c r="AP607" s="144"/>
      <c r="AQ607" s="144"/>
      <c r="AR607" s="144"/>
      <c r="AS607" s="144"/>
    </row>
    <row r="608">
      <c r="AL608" s="144"/>
      <c r="AM608" s="144"/>
      <c r="AN608" s="144"/>
      <c r="AO608" s="144"/>
      <c r="AP608" s="144"/>
      <c r="AQ608" s="144"/>
      <c r="AR608" s="144"/>
      <c r="AS608" s="144"/>
    </row>
    <row r="609">
      <c r="AL609" s="144"/>
      <c r="AM609" s="144"/>
      <c r="AN609" s="144"/>
      <c r="AO609" s="144"/>
      <c r="AP609" s="144"/>
      <c r="AQ609" s="144"/>
      <c r="AR609" s="144"/>
      <c r="AS609" s="144"/>
    </row>
    <row r="610">
      <c r="AL610" s="144"/>
      <c r="AM610" s="144"/>
      <c r="AN610" s="144"/>
      <c r="AO610" s="144"/>
      <c r="AP610" s="144"/>
      <c r="AQ610" s="144"/>
      <c r="AR610" s="144"/>
      <c r="AS610" s="144"/>
    </row>
    <row r="611">
      <c r="AL611" s="144"/>
      <c r="AM611" s="144"/>
      <c r="AN611" s="144"/>
      <c r="AO611" s="144"/>
      <c r="AP611" s="144"/>
      <c r="AQ611" s="144"/>
      <c r="AR611" s="144"/>
      <c r="AS611" s="144"/>
    </row>
    <row r="612">
      <c r="AL612" s="144"/>
      <c r="AM612" s="144"/>
      <c r="AN612" s="144"/>
      <c r="AO612" s="144"/>
      <c r="AP612" s="144"/>
      <c r="AQ612" s="144"/>
      <c r="AR612" s="144"/>
      <c r="AS612" s="144"/>
    </row>
    <row r="613">
      <c r="AL613" s="144"/>
      <c r="AM613" s="144"/>
      <c r="AN613" s="144"/>
      <c r="AO613" s="144"/>
      <c r="AP613" s="144"/>
      <c r="AQ613" s="144"/>
      <c r="AR613" s="144"/>
      <c r="AS613" s="144"/>
    </row>
    <row r="614">
      <c r="AL614" s="144"/>
      <c r="AM614" s="144"/>
      <c r="AN614" s="144"/>
      <c r="AO614" s="144"/>
      <c r="AP614" s="144"/>
      <c r="AQ614" s="144"/>
      <c r="AR614" s="144"/>
      <c r="AS614" s="144"/>
    </row>
    <row r="615">
      <c r="AL615" s="144"/>
      <c r="AM615" s="144"/>
      <c r="AN615" s="144"/>
      <c r="AO615" s="144"/>
      <c r="AP615" s="144"/>
      <c r="AQ615" s="144"/>
      <c r="AR615" s="144"/>
      <c r="AS615" s="144"/>
    </row>
    <row r="616">
      <c r="AL616" s="144"/>
      <c r="AM616" s="144"/>
      <c r="AN616" s="144"/>
      <c r="AO616" s="144"/>
      <c r="AP616" s="144"/>
      <c r="AQ616" s="144"/>
      <c r="AR616" s="144"/>
      <c r="AS616" s="144"/>
    </row>
    <row r="617">
      <c r="AL617" s="144"/>
      <c r="AM617" s="144"/>
      <c r="AN617" s="144"/>
      <c r="AO617" s="144"/>
      <c r="AP617" s="144"/>
      <c r="AQ617" s="144"/>
      <c r="AR617" s="144"/>
      <c r="AS617" s="144"/>
    </row>
    <row r="618">
      <c r="AL618" s="144"/>
      <c r="AM618" s="144"/>
      <c r="AN618" s="144"/>
      <c r="AO618" s="144"/>
      <c r="AP618" s="144"/>
      <c r="AQ618" s="144"/>
      <c r="AR618" s="144"/>
      <c r="AS618" s="144"/>
    </row>
    <row r="619">
      <c r="AL619" s="144"/>
      <c r="AM619" s="144"/>
      <c r="AN619" s="144"/>
      <c r="AO619" s="144"/>
      <c r="AP619" s="144"/>
      <c r="AQ619" s="144"/>
      <c r="AR619" s="144"/>
      <c r="AS619" s="144"/>
    </row>
    <row r="620">
      <c r="AL620" s="144"/>
      <c r="AM620" s="144"/>
      <c r="AN620" s="144"/>
      <c r="AO620" s="144"/>
      <c r="AP620" s="144"/>
      <c r="AQ620" s="144"/>
      <c r="AR620" s="144"/>
      <c r="AS620" s="144"/>
    </row>
    <row r="621">
      <c r="AL621" s="144"/>
      <c r="AM621" s="144"/>
      <c r="AN621" s="144"/>
      <c r="AO621" s="144"/>
      <c r="AP621" s="144"/>
      <c r="AQ621" s="144"/>
      <c r="AR621" s="144"/>
      <c r="AS621" s="144"/>
    </row>
    <row r="622">
      <c r="AL622" s="144"/>
      <c r="AM622" s="144"/>
      <c r="AN622" s="144"/>
      <c r="AO622" s="144"/>
      <c r="AP622" s="144"/>
      <c r="AQ622" s="144"/>
      <c r="AR622" s="144"/>
      <c r="AS622" s="144"/>
    </row>
    <row r="623">
      <c r="AL623" s="144"/>
      <c r="AM623" s="144"/>
      <c r="AN623" s="144"/>
      <c r="AO623" s="144"/>
      <c r="AP623" s="144"/>
      <c r="AQ623" s="144"/>
      <c r="AR623" s="144"/>
      <c r="AS623" s="144"/>
    </row>
    <row r="624">
      <c r="AL624" s="144"/>
      <c r="AM624" s="144"/>
      <c r="AN624" s="144"/>
      <c r="AO624" s="144"/>
      <c r="AP624" s="144"/>
      <c r="AQ624" s="144"/>
      <c r="AR624" s="144"/>
      <c r="AS624" s="144"/>
    </row>
    <row r="625">
      <c r="AL625" s="144"/>
      <c r="AM625" s="144"/>
      <c r="AN625" s="144"/>
      <c r="AO625" s="144"/>
      <c r="AP625" s="144"/>
      <c r="AQ625" s="144"/>
      <c r="AR625" s="144"/>
      <c r="AS625" s="144"/>
    </row>
    <row r="626">
      <c r="AL626" s="144"/>
      <c r="AM626" s="144"/>
      <c r="AN626" s="144"/>
      <c r="AO626" s="144"/>
      <c r="AP626" s="144"/>
      <c r="AQ626" s="144"/>
      <c r="AR626" s="144"/>
      <c r="AS626" s="144"/>
    </row>
    <row r="627">
      <c r="AL627" s="144"/>
      <c r="AM627" s="144"/>
      <c r="AN627" s="144"/>
      <c r="AO627" s="144"/>
      <c r="AP627" s="144"/>
      <c r="AQ627" s="144"/>
      <c r="AR627" s="144"/>
      <c r="AS627" s="144"/>
    </row>
    <row r="628">
      <c r="AL628" s="144"/>
      <c r="AM628" s="144"/>
      <c r="AN628" s="144"/>
      <c r="AO628" s="144"/>
      <c r="AP628" s="144"/>
      <c r="AQ628" s="144"/>
      <c r="AR628" s="144"/>
      <c r="AS628" s="144"/>
    </row>
    <row r="629">
      <c r="AL629" s="144"/>
      <c r="AM629" s="144"/>
      <c r="AN629" s="144"/>
      <c r="AO629" s="144"/>
      <c r="AP629" s="144"/>
      <c r="AQ629" s="144"/>
      <c r="AR629" s="144"/>
      <c r="AS629" s="144"/>
    </row>
    <row r="630">
      <c r="AL630" s="144"/>
      <c r="AM630" s="144"/>
      <c r="AN630" s="144"/>
      <c r="AO630" s="144"/>
      <c r="AP630" s="144"/>
      <c r="AQ630" s="144"/>
      <c r="AR630" s="144"/>
      <c r="AS630" s="144"/>
    </row>
    <row r="631">
      <c r="AL631" s="144"/>
      <c r="AM631" s="144"/>
      <c r="AN631" s="144"/>
      <c r="AO631" s="144"/>
      <c r="AP631" s="144"/>
      <c r="AQ631" s="144"/>
      <c r="AR631" s="144"/>
      <c r="AS631" s="144"/>
    </row>
    <row r="632">
      <c r="AL632" s="144"/>
      <c r="AM632" s="144"/>
      <c r="AN632" s="144"/>
      <c r="AO632" s="144"/>
      <c r="AP632" s="144"/>
      <c r="AQ632" s="144"/>
      <c r="AR632" s="144"/>
      <c r="AS632" s="144"/>
    </row>
    <row r="633">
      <c r="AL633" s="144"/>
      <c r="AM633" s="144"/>
      <c r="AN633" s="144"/>
      <c r="AO633" s="144"/>
      <c r="AP633" s="144"/>
      <c r="AQ633" s="144"/>
      <c r="AR633" s="144"/>
      <c r="AS633" s="144"/>
    </row>
    <row r="634">
      <c r="AL634" s="144"/>
      <c r="AM634" s="144"/>
      <c r="AN634" s="144"/>
      <c r="AO634" s="144"/>
      <c r="AP634" s="144"/>
      <c r="AQ634" s="144"/>
      <c r="AR634" s="144"/>
      <c r="AS634" s="144"/>
    </row>
    <row r="635">
      <c r="AL635" s="144"/>
      <c r="AM635" s="144"/>
      <c r="AN635" s="144"/>
      <c r="AO635" s="144"/>
      <c r="AP635" s="144"/>
      <c r="AQ635" s="144"/>
      <c r="AR635" s="144"/>
      <c r="AS635" s="144"/>
    </row>
    <row r="636">
      <c r="AL636" s="144"/>
      <c r="AM636" s="144"/>
      <c r="AN636" s="144"/>
      <c r="AO636" s="144"/>
      <c r="AP636" s="144"/>
      <c r="AQ636" s="144"/>
      <c r="AR636" s="144"/>
      <c r="AS636" s="144"/>
    </row>
    <row r="637">
      <c r="AL637" s="144"/>
      <c r="AM637" s="144"/>
      <c r="AN637" s="144"/>
      <c r="AO637" s="144"/>
      <c r="AP637" s="144"/>
      <c r="AQ637" s="144"/>
      <c r="AR637" s="144"/>
      <c r="AS637" s="144"/>
    </row>
    <row r="638">
      <c r="AL638" s="144"/>
      <c r="AM638" s="144"/>
      <c r="AN638" s="144"/>
      <c r="AO638" s="144"/>
      <c r="AP638" s="144"/>
      <c r="AQ638" s="144"/>
      <c r="AR638" s="144"/>
      <c r="AS638" s="144"/>
    </row>
    <row r="639">
      <c r="AL639" s="144"/>
      <c r="AM639" s="144"/>
      <c r="AN639" s="144"/>
      <c r="AO639" s="144"/>
      <c r="AP639" s="144"/>
      <c r="AQ639" s="144"/>
      <c r="AR639" s="144"/>
      <c r="AS639" s="144"/>
    </row>
    <row r="640">
      <c r="AL640" s="144"/>
      <c r="AM640" s="144"/>
      <c r="AN640" s="144"/>
      <c r="AO640" s="144"/>
      <c r="AP640" s="144"/>
      <c r="AQ640" s="144"/>
      <c r="AR640" s="144"/>
      <c r="AS640" s="144"/>
    </row>
    <row r="641">
      <c r="AL641" s="144"/>
      <c r="AM641" s="144"/>
      <c r="AN641" s="144"/>
      <c r="AO641" s="144"/>
      <c r="AP641" s="144"/>
      <c r="AQ641" s="144"/>
      <c r="AR641" s="144"/>
      <c r="AS641" s="144"/>
    </row>
    <row r="642">
      <c r="AL642" s="144"/>
      <c r="AM642" s="144"/>
      <c r="AN642" s="144"/>
      <c r="AO642" s="144"/>
      <c r="AP642" s="144"/>
      <c r="AQ642" s="144"/>
      <c r="AR642" s="144"/>
      <c r="AS642" s="144"/>
    </row>
    <row r="643">
      <c r="AL643" s="144"/>
      <c r="AM643" s="144"/>
      <c r="AN643" s="144"/>
      <c r="AO643" s="144"/>
      <c r="AP643" s="144"/>
      <c r="AQ643" s="144"/>
      <c r="AR643" s="144"/>
      <c r="AS643" s="144"/>
    </row>
    <row r="644">
      <c r="AL644" s="144"/>
      <c r="AM644" s="144"/>
      <c r="AN644" s="144"/>
      <c r="AO644" s="144"/>
      <c r="AP644" s="144"/>
      <c r="AQ644" s="144"/>
      <c r="AR644" s="144"/>
      <c r="AS644" s="144"/>
    </row>
    <row r="645">
      <c r="AL645" s="144"/>
      <c r="AM645" s="144"/>
      <c r="AN645" s="144"/>
      <c r="AO645" s="144"/>
      <c r="AP645" s="144"/>
      <c r="AQ645" s="144"/>
      <c r="AR645" s="144"/>
      <c r="AS645" s="144"/>
    </row>
    <row r="646">
      <c r="AL646" s="144"/>
      <c r="AM646" s="144"/>
      <c r="AN646" s="144"/>
      <c r="AO646" s="144"/>
      <c r="AP646" s="144"/>
      <c r="AQ646" s="144"/>
      <c r="AR646" s="144"/>
      <c r="AS646" s="144"/>
    </row>
    <row r="647">
      <c r="AL647" s="144"/>
      <c r="AM647" s="144"/>
      <c r="AN647" s="144"/>
      <c r="AO647" s="144"/>
      <c r="AP647" s="144"/>
      <c r="AQ647" s="144"/>
      <c r="AR647" s="144"/>
      <c r="AS647" s="144"/>
    </row>
    <row r="648">
      <c r="AL648" s="144"/>
      <c r="AM648" s="144"/>
      <c r="AN648" s="144"/>
      <c r="AO648" s="144"/>
      <c r="AP648" s="144"/>
      <c r="AQ648" s="144"/>
      <c r="AR648" s="144"/>
      <c r="AS648" s="144"/>
    </row>
    <row r="649">
      <c r="AL649" s="144"/>
      <c r="AM649" s="144"/>
      <c r="AN649" s="144"/>
      <c r="AO649" s="144"/>
      <c r="AP649" s="144"/>
      <c r="AQ649" s="144"/>
      <c r="AR649" s="144"/>
      <c r="AS649" s="144"/>
    </row>
    <row r="650">
      <c r="AL650" s="144"/>
      <c r="AM650" s="144"/>
      <c r="AN650" s="144"/>
      <c r="AO650" s="144"/>
      <c r="AP650" s="144"/>
      <c r="AQ650" s="144"/>
      <c r="AR650" s="144"/>
      <c r="AS650" s="144"/>
    </row>
    <row r="651">
      <c r="AL651" s="144"/>
      <c r="AM651" s="144"/>
      <c r="AN651" s="144"/>
      <c r="AO651" s="144"/>
      <c r="AP651" s="144"/>
      <c r="AQ651" s="144"/>
      <c r="AR651" s="144"/>
      <c r="AS651" s="144"/>
    </row>
    <row r="652">
      <c r="AL652" s="144"/>
      <c r="AM652" s="144"/>
      <c r="AN652" s="144"/>
      <c r="AO652" s="144"/>
      <c r="AP652" s="144"/>
      <c r="AQ652" s="144"/>
      <c r="AR652" s="144"/>
      <c r="AS652" s="144"/>
    </row>
    <row r="653">
      <c r="AL653" s="144"/>
      <c r="AM653" s="144"/>
      <c r="AN653" s="144"/>
      <c r="AO653" s="144"/>
      <c r="AP653" s="144"/>
      <c r="AQ653" s="144"/>
      <c r="AR653" s="144"/>
      <c r="AS653" s="144"/>
    </row>
    <row r="654">
      <c r="AL654" s="144"/>
      <c r="AM654" s="144"/>
      <c r="AN654" s="144"/>
      <c r="AO654" s="144"/>
      <c r="AP654" s="144"/>
      <c r="AQ654" s="144"/>
      <c r="AR654" s="144"/>
      <c r="AS654" s="144"/>
    </row>
    <row r="655">
      <c r="AL655" s="144"/>
      <c r="AM655" s="144"/>
      <c r="AN655" s="144"/>
      <c r="AO655" s="144"/>
      <c r="AP655" s="144"/>
      <c r="AQ655" s="144"/>
      <c r="AR655" s="144"/>
      <c r="AS655" s="144"/>
    </row>
    <row r="656">
      <c r="AL656" s="144"/>
      <c r="AM656" s="144"/>
      <c r="AN656" s="144"/>
      <c r="AO656" s="144"/>
      <c r="AP656" s="144"/>
      <c r="AQ656" s="144"/>
      <c r="AR656" s="144"/>
      <c r="AS656" s="144"/>
    </row>
    <row r="657">
      <c r="AL657" s="144"/>
      <c r="AM657" s="144"/>
      <c r="AN657" s="144"/>
      <c r="AO657" s="144"/>
      <c r="AP657" s="144"/>
      <c r="AQ657" s="144"/>
      <c r="AR657" s="144"/>
      <c r="AS657" s="144"/>
    </row>
    <row r="658">
      <c r="AL658" s="144"/>
      <c r="AM658" s="144"/>
      <c r="AN658" s="144"/>
      <c r="AO658" s="144"/>
      <c r="AP658" s="144"/>
      <c r="AQ658" s="144"/>
      <c r="AR658" s="144"/>
      <c r="AS658" s="144"/>
    </row>
    <row r="659">
      <c r="AL659" s="144"/>
      <c r="AM659" s="144"/>
      <c r="AN659" s="144"/>
      <c r="AO659" s="144"/>
      <c r="AP659" s="144"/>
      <c r="AQ659" s="144"/>
      <c r="AR659" s="144"/>
      <c r="AS659" s="144"/>
    </row>
    <row r="660">
      <c r="AL660" s="144"/>
      <c r="AM660" s="144"/>
      <c r="AN660" s="144"/>
      <c r="AO660" s="144"/>
      <c r="AP660" s="144"/>
      <c r="AQ660" s="144"/>
      <c r="AR660" s="144"/>
      <c r="AS660" s="144"/>
    </row>
    <row r="661">
      <c r="AL661" s="144"/>
      <c r="AM661" s="144"/>
      <c r="AN661" s="144"/>
      <c r="AO661" s="144"/>
      <c r="AP661" s="144"/>
      <c r="AQ661" s="144"/>
      <c r="AR661" s="144"/>
      <c r="AS661" s="144"/>
    </row>
    <row r="662">
      <c r="AL662" s="144"/>
      <c r="AM662" s="144"/>
      <c r="AN662" s="144"/>
      <c r="AO662" s="144"/>
      <c r="AP662" s="144"/>
      <c r="AQ662" s="144"/>
      <c r="AR662" s="144"/>
      <c r="AS662" s="144"/>
    </row>
    <row r="663">
      <c r="AL663" s="144"/>
      <c r="AM663" s="144"/>
      <c r="AN663" s="144"/>
      <c r="AO663" s="144"/>
      <c r="AP663" s="144"/>
      <c r="AQ663" s="144"/>
      <c r="AR663" s="144"/>
      <c r="AS663" s="144"/>
    </row>
    <row r="664">
      <c r="AL664" s="144"/>
      <c r="AM664" s="144"/>
      <c r="AN664" s="144"/>
      <c r="AO664" s="144"/>
      <c r="AP664" s="144"/>
      <c r="AQ664" s="144"/>
      <c r="AR664" s="144"/>
      <c r="AS664" s="144"/>
    </row>
    <row r="665">
      <c r="AL665" s="144"/>
      <c r="AM665" s="144"/>
      <c r="AN665" s="144"/>
      <c r="AO665" s="144"/>
      <c r="AP665" s="144"/>
      <c r="AQ665" s="144"/>
      <c r="AR665" s="144"/>
      <c r="AS665" s="144"/>
    </row>
    <row r="666">
      <c r="AL666" s="144"/>
      <c r="AM666" s="144"/>
      <c r="AN666" s="144"/>
      <c r="AO666" s="144"/>
      <c r="AP666" s="144"/>
      <c r="AQ666" s="144"/>
      <c r="AR666" s="144"/>
      <c r="AS666" s="144"/>
    </row>
    <row r="667">
      <c r="AL667" s="144"/>
      <c r="AM667" s="144"/>
      <c r="AN667" s="144"/>
      <c r="AO667" s="144"/>
      <c r="AP667" s="144"/>
      <c r="AQ667" s="144"/>
      <c r="AR667" s="144"/>
      <c r="AS667" s="144"/>
    </row>
    <row r="668">
      <c r="AL668" s="144"/>
      <c r="AM668" s="144"/>
      <c r="AN668" s="144"/>
      <c r="AO668" s="144"/>
      <c r="AP668" s="144"/>
      <c r="AQ668" s="144"/>
      <c r="AR668" s="144"/>
      <c r="AS668" s="144"/>
    </row>
    <row r="669">
      <c r="AL669" s="144"/>
      <c r="AM669" s="144"/>
      <c r="AN669" s="144"/>
      <c r="AO669" s="144"/>
      <c r="AP669" s="144"/>
      <c r="AQ669" s="144"/>
      <c r="AR669" s="144"/>
      <c r="AS669" s="144"/>
    </row>
    <row r="670">
      <c r="AL670" s="144"/>
      <c r="AM670" s="144"/>
      <c r="AN670" s="144"/>
      <c r="AO670" s="144"/>
      <c r="AP670" s="144"/>
      <c r="AQ670" s="144"/>
      <c r="AR670" s="144"/>
      <c r="AS670" s="144"/>
    </row>
    <row r="671">
      <c r="AL671" s="144"/>
      <c r="AM671" s="144"/>
      <c r="AN671" s="144"/>
      <c r="AO671" s="144"/>
      <c r="AP671" s="144"/>
      <c r="AQ671" s="144"/>
      <c r="AR671" s="144"/>
      <c r="AS671" s="144"/>
    </row>
    <row r="672">
      <c r="AL672" s="144"/>
      <c r="AM672" s="144"/>
      <c r="AN672" s="144"/>
      <c r="AO672" s="144"/>
      <c r="AP672" s="144"/>
      <c r="AQ672" s="144"/>
      <c r="AR672" s="144"/>
      <c r="AS672" s="144"/>
    </row>
    <row r="673">
      <c r="AL673" s="144"/>
      <c r="AM673" s="144"/>
      <c r="AN673" s="144"/>
      <c r="AO673" s="144"/>
      <c r="AP673" s="144"/>
      <c r="AQ673" s="144"/>
      <c r="AR673" s="144"/>
      <c r="AS673" s="144"/>
    </row>
    <row r="674">
      <c r="AL674" s="144"/>
      <c r="AM674" s="144"/>
      <c r="AN674" s="144"/>
      <c r="AO674" s="144"/>
      <c r="AP674" s="144"/>
      <c r="AQ674" s="144"/>
      <c r="AR674" s="144"/>
      <c r="AS674" s="144"/>
    </row>
    <row r="675">
      <c r="AL675" s="144"/>
      <c r="AM675" s="144"/>
      <c r="AN675" s="144"/>
      <c r="AO675" s="144"/>
      <c r="AP675" s="144"/>
      <c r="AQ675" s="144"/>
      <c r="AR675" s="144"/>
      <c r="AS675" s="144"/>
    </row>
    <row r="676">
      <c r="AL676" s="144"/>
      <c r="AM676" s="144"/>
      <c r="AN676" s="144"/>
      <c r="AO676" s="144"/>
      <c r="AP676" s="144"/>
      <c r="AQ676" s="144"/>
      <c r="AR676" s="144"/>
      <c r="AS676" s="144"/>
    </row>
    <row r="677">
      <c r="AL677" s="144"/>
      <c r="AM677" s="144"/>
      <c r="AN677" s="144"/>
      <c r="AO677" s="144"/>
      <c r="AP677" s="144"/>
      <c r="AQ677" s="144"/>
      <c r="AR677" s="144"/>
      <c r="AS677" s="144"/>
    </row>
    <row r="678">
      <c r="AL678" s="144"/>
      <c r="AM678" s="144"/>
      <c r="AN678" s="144"/>
      <c r="AO678" s="144"/>
      <c r="AP678" s="144"/>
      <c r="AQ678" s="144"/>
      <c r="AR678" s="144"/>
      <c r="AS678" s="144"/>
    </row>
    <row r="679">
      <c r="AL679" s="144"/>
      <c r="AM679" s="144"/>
      <c r="AN679" s="144"/>
      <c r="AO679" s="144"/>
      <c r="AP679" s="144"/>
      <c r="AQ679" s="144"/>
      <c r="AR679" s="144"/>
      <c r="AS679" s="144"/>
    </row>
    <row r="680">
      <c r="AL680" s="144"/>
      <c r="AM680" s="144"/>
      <c r="AN680" s="144"/>
      <c r="AO680" s="144"/>
      <c r="AP680" s="144"/>
      <c r="AQ680" s="144"/>
      <c r="AR680" s="144"/>
      <c r="AS680" s="144"/>
    </row>
    <row r="681">
      <c r="AL681" s="144"/>
      <c r="AM681" s="144"/>
      <c r="AN681" s="144"/>
      <c r="AO681" s="144"/>
      <c r="AP681" s="144"/>
      <c r="AQ681" s="144"/>
      <c r="AR681" s="144"/>
      <c r="AS681" s="144"/>
    </row>
    <row r="682">
      <c r="AL682" s="144"/>
      <c r="AM682" s="144"/>
      <c r="AN682" s="144"/>
      <c r="AO682" s="144"/>
      <c r="AP682" s="144"/>
      <c r="AQ682" s="144"/>
      <c r="AR682" s="144"/>
      <c r="AS682" s="144"/>
    </row>
    <row r="683">
      <c r="AL683" s="144"/>
      <c r="AM683" s="144"/>
      <c r="AN683" s="144"/>
      <c r="AO683" s="144"/>
      <c r="AP683" s="144"/>
      <c r="AQ683" s="144"/>
      <c r="AR683" s="144"/>
      <c r="AS683" s="144"/>
    </row>
    <row r="684">
      <c r="AL684" s="144"/>
      <c r="AM684" s="144"/>
      <c r="AN684" s="144"/>
      <c r="AO684" s="144"/>
      <c r="AP684" s="144"/>
      <c r="AQ684" s="144"/>
      <c r="AR684" s="144"/>
      <c r="AS684" s="144"/>
    </row>
    <row r="685">
      <c r="AL685" s="144"/>
      <c r="AM685" s="144"/>
      <c r="AN685" s="144"/>
      <c r="AO685" s="144"/>
      <c r="AP685" s="144"/>
      <c r="AQ685" s="144"/>
      <c r="AR685" s="144"/>
      <c r="AS685" s="144"/>
    </row>
    <row r="686">
      <c r="AL686" s="144"/>
      <c r="AM686" s="144"/>
      <c r="AN686" s="144"/>
      <c r="AO686" s="144"/>
      <c r="AP686" s="144"/>
      <c r="AQ686" s="144"/>
      <c r="AR686" s="144"/>
      <c r="AS686" s="144"/>
    </row>
    <row r="687">
      <c r="AL687" s="144"/>
      <c r="AM687" s="144"/>
      <c r="AN687" s="144"/>
      <c r="AO687" s="144"/>
      <c r="AP687" s="144"/>
      <c r="AQ687" s="144"/>
      <c r="AR687" s="144"/>
      <c r="AS687" s="144"/>
    </row>
    <row r="688">
      <c r="AL688" s="144"/>
      <c r="AM688" s="144"/>
      <c r="AN688" s="144"/>
      <c r="AO688" s="144"/>
      <c r="AP688" s="144"/>
      <c r="AQ688" s="144"/>
      <c r="AR688" s="144"/>
      <c r="AS688" s="144"/>
    </row>
    <row r="689">
      <c r="AL689" s="144"/>
      <c r="AM689" s="144"/>
      <c r="AN689" s="144"/>
      <c r="AO689" s="144"/>
      <c r="AP689" s="144"/>
      <c r="AQ689" s="144"/>
      <c r="AR689" s="144"/>
      <c r="AS689" s="144"/>
    </row>
    <row r="690">
      <c r="AL690" s="144"/>
      <c r="AM690" s="144"/>
      <c r="AN690" s="144"/>
      <c r="AO690" s="144"/>
      <c r="AP690" s="144"/>
      <c r="AQ690" s="144"/>
      <c r="AR690" s="144"/>
      <c r="AS690" s="144"/>
    </row>
    <row r="691">
      <c r="AL691" s="144"/>
      <c r="AM691" s="144"/>
      <c r="AN691" s="144"/>
      <c r="AO691" s="144"/>
      <c r="AP691" s="144"/>
      <c r="AQ691" s="144"/>
      <c r="AR691" s="144"/>
      <c r="AS691" s="144"/>
    </row>
    <row r="692">
      <c r="AL692" s="144"/>
      <c r="AM692" s="144"/>
      <c r="AN692" s="144"/>
      <c r="AO692" s="144"/>
      <c r="AP692" s="144"/>
      <c r="AQ692" s="144"/>
      <c r="AR692" s="144"/>
      <c r="AS692" s="144"/>
    </row>
    <row r="693">
      <c r="AL693" s="144"/>
      <c r="AM693" s="144"/>
      <c r="AN693" s="144"/>
      <c r="AO693" s="144"/>
      <c r="AP693" s="144"/>
      <c r="AQ693" s="144"/>
      <c r="AR693" s="144"/>
      <c r="AS693" s="144"/>
    </row>
    <row r="694">
      <c r="AL694" s="144"/>
      <c r="AM694" s="144"/>
      <c r="AN694" s="144"/>
      <c r="AO694" s="144"/>
      <c r="AP694" s="144"/>
      <c r="AQ694" s="144"/>
      <c r="AR694" s="144"/>
      <c r="AS694" s="144"/>
    </row>
    <row r="695">
      <c r="AL695" s="144"/>
      <c r="AM695" s="144"/>
      <c r="AN695" s="144"/>
      <c r="AO695" s="144"/>
      <c r="AP695" s="144"/>
      <c r="AQ695" s="144"/>
      <c r="AR695" s="144"/>
      <c r="AS695" s="144"/>
    </row>
    <row r="696">
      <c r="AL696" s="144"/>
      <c r="AM696" s="144"/>
      <c r="AN696" s="144"/>
      <c r="AO696" s="144"/>
      <c r="AP696" s="144"/>
      <c r="AQ696" s="144"/>
      <c r="AR696" s="144"/>
      <c r="AS696" s="144"/>
    </row>
    <row r="697">
      <c r="AL697" s="144"/>
      <c r="AM697" s="144"/>
      <c r="AN697" s="144"/>
      <c r="AO697" s="144"/>
      <c r="AP697" s="144"/>
      <c r="AQ697" s="144"/>
      <c r="AR697" s="144"/>
      <c r="AS697" s="144"/>
    </row>
    <row r="698">
      <c r="AL698" s="144"/>
      <c r="AM698" s="144"/>
      <c r="AN698" s="144"/>
      <c r="AO698" s="144"/>
      <c r="AP698" s="144"/>
      <c r="AQ698" s="144"/>
      <c r="AR698" s="144"/>
      <c r="AS698" s="144"/>
    </row>
    <row r="699">
      <c r="AL699" s="144"/>
      <c r="AM699" s="144"/>
      <c r="AN699" s="144"/>
      <c r="AO699" s="144"/>
      <c r="AP699" s="144"/>
      <c r="AQ699" s="144"/>
      <c r="AR699" s="144"/>
      <c r="AS699" s="144"/>
    </row>
    <row r="700">
      <c r="AL700" s="144"/>
      <c r="AM700" s="144"/>
      <c r="AN700" s="144"/>
      <c r="AO700" s="144"/>
      <c r="AP700" s="144"/>
      <c r="AQ700" s="144"/>
      <c r="AR700" s="144"/>
      <c r="AS700" s="144"/>
    </row>
    <row r="701">
      <c r="AL701" s="144"/>
      <c r="AM701" s="144"/>
      <c r="AN701" s="144"/>
      <c r="AO701" s="144"/>
      <c r="AP701" s="144"/>
      <c r="AQ701" s="144"/>
      <c r="AR701" s="144"/>
      <c r="AS701" s="144"/>
    </row>
    <row r="702">
      <c r="AL702" s="144"/>
      <c r="AM702" s="144"/>
      <c r="AN702" s="144"/>
      <c r="AO702" s="144"/>
      <c r="AP702" s="144"/>
      <c r="AQ702" s="144"/>
      <c r="AR702" s="144"/>
      <c r="AS702" s="144"/>
    </row>
    <row r="703">
      <c r="AL703" s="144"/>
      <c r="AM703" s="144"/>
      <c r="AN703" s="144"/>
      <c r="AO703" s="144"/>
      <c r="AP703" s="144"/>
      <c r="AQ703" s="144"/>
      <c r="AR703" s="144"/>
      <c r="AS703" s="144"/>
    </row>
    <row r="704">
      <c r="AL704" s="144"/>
      <c r="AM704" s="144"/>
      <c r="AN704" s="144"/>
      <c r="AO704" s="144"/>
      <c r="AP704" s="144"/>
      <c r="AQ704" s="144"/>
      <c r="AR704" s="144"/>
      <c r="AS704" s="144"/>
    </row>
    <row r="705">
      <c r="AL705" s="144"/>
      <c r="AM705" s="144"/>
      <c r="AN705" s="144"/>
      <c r="AO705" s="144"/>
      <c r="AP705" s="144"/>
      <c r="AQ705" s="144"/>
      <c r="AR705" s="144"/>
      <c r="AS705" s="144"/>
    </row>
    <row r="706">
      <c r="AL706" s="144"/>
      <c r="AM706" s="144"/>
      <c r="AN706" s="144"/>
      <c r="AO706" s="144"/>
      <c r="AP706" s="144"/>
      <c r="AQ706" s="144"/>
      <c r="AR706" s="144"/>
      <c r="AS706" s="144"/>
    </row>
    <row r="707">
      <c r="AL707" s="144"/>
      <c r="AM707" s="144"/>
      <c r="AN707" s="144"/>
      <c r="AO707" s="144"/>
      <c r="AP707" s="144"/>
      <c r="AQ707" s="144"/>
      <c r="AR707" s="144"/>
      <c r="AS707" s="144"/>
    </row>
    <row r="708">
      <c r="AL708" s="144"/>
      <c r="AM708" s="144"/>
      <c r="AN708" s="144"/>
      <c r="AO708" s="144"/>
      <c r="AP708" s="144"/>
      <c r="AQ708" s="144"/>
      <c r="AR708" s="144"/>
      <c r="AS708" s="144"/>
    </row>
    <row r="709">
      <c r="AL709" s="144"/>
      <c r="AM709" s="144"/>
      <c r="AN709" s="144"/>
      <c r="AO709" s="144"/>
      <c r="AP709" s="144"/>
      <c r="AQ709" s="144"/>
      <c r="AR709" s="144"/>
      <c r="AS709" s="144"/>
    </row>
    <row r="710">
      <c r="AL710" s="144"/>
      <c r="AM710" s="144"/>
      <c r="AN710" s="144"/>
      <c r="AO710" s="144"/>
      <c r="AP710" s="144"/>
      <c r="AQ710" s="144"/>
      <c r="AR710" s="144"/>
      <c r="AS710" s="144"/>
    </row>
    <row r="711">
      <c r="AL711" s="144"/>
      <c r="AM711" s="144"/>
      <c r="AN711" s="144"/>
      <c r="AO711" s="144"/>
      <c r="AP711" s="144"/>
      <c r="AQ711" s="144"/>
      <c r="AR711" s="144"/>
      <c r="AS711" s="144"/>
    </row>
    <row r="712">
      <c r="AL712" s="144"/>
      <c r="AM712" s="144"/>
      <c r="AN712" s="144"/>
      <c r="AO712" s="144"/>
      <c r="AP712" s="144"/>
      <c r="AQ712" s="144"/>
      <c r="AR712" s="144"/>
      <c r="AS712" s="144"/>
    </row>
    <row r="713">
      <c r="AL713" s="144"/>
      <c r="AM713" s="144"/>
      <c r="AN713" s="144"/>
      <c r="AO713" s="144"/>
      <c r="AP713" s="144"/>
      <c r="AQ713" s="144"/>
      <c r="AR713" s="144"/>
      <c r="AS713" s="144"/>
    </row>
    <row r="714">
      <c r="AL714" s="144"/>
      <c r="AM714" s="144"/>
      <c r="AN714" s="144"/>
      <c r="AO714" s="144"/>
      <c r="AP714" s="144"/>
      <c r="AQ714" s="144"/>
      <c r="AR714" s="144"/>
      <c r="AS714" s="144"/>
    </row>
    <row r="715">
      <c r="AL715" s="144"/>
      <c r="AM715" s="144"/>
      <c r="AN715" s="144"/>
      <c r="AO715" s="144"/>
      <c r="AP715" s="144"/>
      <c r="AQ715" s="144"/>
      <c r="AR715" s="144"/>
      <c r="AS715" s="144"/>
    </row>
    <row r="716">
      <c r="AL716" s="144"/>
      <c r="AM716" s="144"/>
      <c r="AN716" s="144"/>
      <c r="AO716" s="144"/>
      <c r="AP716" s="144"/>
      <c r="AQ716" s="144"/>
      <c r="AR716" s="144"/>
      <c r="AS716" s="144"/>
    </row>
    <row r="717">
      <c r="AL717" s="144"/>
      <c r="AM717" s="144"/>
      <c r="AN717" s="144"/>
      <c r="AO717" s="144"/>
      <c r="AP717" s="144"/>
      <c r="AQ717" s="144"/>
      <c r="AR717" s="144"/>
      <c r="AS717" s="144"/>
    </row>
    <row r="718">
      <c r="AL718" s="144"/>
      <c r="AM718" s="144"/>
      <c r="AN718" s="144"/>
      <c r="AO718" s="144"/>
      <c r="AP718" s="144"/>
      <c r="AQ718" s="144"/>
      <c r="AR718" s="144"/>
      <c r="AS718" s="144"/>
    </row>
    <row r="719">
      <c r="AL719" s="144"/>
      <c r="AM719" s="144"/>
      <c r="AN719" s="144"/>
      <c r="AO719" s="144"/>
      <c r="AP719" s="144"/>
      <c r="AQ719" s="144"/>
      <c r="AR719" s="144"/>
      <c r="AS719" s="144"/>
    </row>
    <row r="720">
      <c r="AL720" s="144"/>
      <c r="AM720" s="144"/>
      <c r="AN720" s="144"/>
      <c r="AO720" s="144"/>
      <c r="AP720" s="144"/>
      <c r="AQ720" s="144"/>
      <c r="AR720" s="144"/>
      <c r="AS720" s="144"/>
    </row>
    <row r="721">
      <c r="AL721" s="144"/>
      <c r="AM721" s="144"/>
      <c r="AN721" s="144"/>
      <c r="AO721" s="144"/>
      <c r="AP721" s="144"/>
      <c r="AQ721" s="144"/>
      <c r="AR721" s="144"/>
      <c r="AS721" s="144"/>
    </row>
    <row r="722">
      <c r="AL722" s="144"/>
      <c r="AM722" s="144"/>
      <c r="AN722" s="144"/>
      <c r="AO722" s="144"/>
      <c r="AP722" s="144"/>
      <c r="AQ722" s="144"/>
      <c r="AR722" s="144"/>
      <c r="AS722" s="144"/>
    </row>
    <row r="723">
      <c r="AL723" s="144"/>
      <c r="AM723" s="144"/>
      <c r="AN723" s="144"/>
      <c r="AO723" s="144"/>
      <c r="AP723" s="144"/>
      <c r="AQ723" s="144"/>
      <c r="AR723" s="144"/>
      <c r="AS723" s="144"/>
    </row>
    <row r="724">
      <c r="AL724" s="144"/>
      <c r="AM724" s="144"/>
      <c r="AN724" s="144"/>
      <c r="AO724" s="144"/>
      <c r="AP724" s="144"/>
      <c r="AQ724" s="144"/>
      <c r="AR724" s="144"/>
      <c r="AS724" s="144"/>
    </row>
    <row r="725">
      <c r="AL725" s="144"/>
      <c r="AM725" s="144"/>
      <c r="AN725" s="144"/>
      <c r="AO725" s="144"/>
      <c r="AP725" s="144"/>
      <c r="AQ725" s="144"/>
      <c r="AR725" s="144"/>
      <c r="AS725" s="144"/>
    </row>
    <row r="726">
      <c r="AL726" s="144"/>
      <c r="AM726" s="144"/>
      <c r="AN726" s="144"/>
      <c r="AO726" s="144"/>
      <c r="AP726" s="144"/>
      <c r="AQ726" s="144"/>
      <c r="AR726" s="144"/>
      <c r="AS726" s="144"/>
    </row>
    <row r="727">
      <c r="AL727" s="144"/>
      <c r="AM727" s="144"/>
      <c r="AN727" s="144"/>
      <c r="AO727" s="144"/>
      <c r="AP727" s="144"/>
      <c r="AQ727" s="144"/>
      <c r="AR727" s="144"/>
      <c r="AS727" s="144"/>
    </row>
    <row r="728">
      <c r="AL728" s="144"/>
      <c r="AM728" s="144"/>
      <c r="AN728" s="144"/>
      <c r="AO728" s="144"/>
      <c r="AP728" s="144"/>
      <c r="AQ728" s="144"/>
      <c r="AR728" s="144"/>
      <c r="AS728" s="144"/>
    </row>
    <row r="729">
      <c r="AL729" s="144"/>
      <c r="AM729" s="144"/>
      <c r="AN729" s="144"/>
      <c r="AO729" s="144"/>
      <c r="AP729" s="144"/>
      <c r="AQ729" s="144"/>
      <c r="AR729" s="144"/>
      <c r="AS729" s="144"/>
    </row>
    <row r="730">
      <c r="AL730" s="144"/>
      <c r="AM730" s="144"/>
      <c r="AN730" s="144"/>
      <c r="AO730" s="144"/>
      <c r="AP730" s="144"/>
      <c r="AQ730" s="144"/>
      <c r="AR730" s="144"/>
      <c r="AS730" s="144"/>
    </row>
    <row r="731">
      <c r="AL731" s="144"/>
      <c r="AM731" s="144"/>
      <c r="AN731" s="144"/>
      <c r="AO731" s="144"/>
      <c r="AP731" s="144"/>
      <c r="AQ731" s="144"/>
      <c r="AR731" s="144"/>
      <c r="AS731" s="144"/>
    </row>
    <row r="732">
      <c r="AL732" s="144"/>
      <c r="AM732" s="144"/>
      <c r="AN732" s="144"/>
      <c r="AO732" s="144"/>
      <c r="AP732" s="144"/>
      <c r="AQ732" s="144"/>
      <c r="AR732" s="144"/>
      <c r="AS732" s="144"/>
    </row>
    <row r="733">
      <c r="AL733" s="144"/>
      <c r="AM733" s="144"/>
      <c r="AN733" s="144"/>
      <c r="AO733" s="144"/>
      <c r="AP733" s="144"/>
      <c r="AQ733" s="144"/>
      <c r="AR733" s="144"/>
      <c r="AS733" s="144"/>
    </row>
    <row r="734">
      <c r="AL734" s="144"/>
      <c r="AM734" s="144"/>
      <c r="AN734" s="144"/>
      <c r="AO734" s="144"/>
      <c r="AP734" s="144"/>
      <c r="AQ734" s="144"/>
      <c r="AR734" s="144"/>
      <c r="AS734" s="144"/>
    </row>
    <row r="735">
      <c r="AL735" s="144"/>
      <c r="AM735" s="144"/>
      <c r="AN735" s="144"/>
      <c r="AO735" s="144"/>
      <c r="AP735" s="144"/>
      <c r="AQ735" s="144"/>
      <c r="AR735" s="144"/>
      <c r="AS735" s="144"/>
    </row>
    <row r="736">
      <c r="AL736" s="144"/>
      <c r="AM736" s="144"/>
      <c r="AN736" s="144"/>
      <c r="AO736" s="144"/>
      <c r="AP736" s="144"/>
      <c r="AQ736" s="144"/>
      <c r="AR736" s="144"/>
      <c r="AS736" s="144"/>
    </row>
    <row r="737">
      <c r="AL737" s="144"/>
      <c r="AM737" s="144"/>
      <c r="AN737" s="144"/>
      <c r="AO737" s="144"/>
      <c r="AP737" s="144"/>
      <c r="AQ737" s="144"/>
      <c r="AR737" s="144"/>
      <c r="AS737" s="144"/>
    </row>
    <row r="738">
      <c r="AL738" s="144"/>
      <c r="AM738" s="144"/>
      <c r="AN738" s="144"/>
      <c r="AO738" s="144"/>
      <c r="AP738" s="144"/>
      <c r="AQ738" s="144"/>
      <c r="AR738" s="144"/>
      <c r="AS738" s="144"/>
    </row>
    <row r="739">
      <c r="AL739" s="144"/>
      <c r="AM739" s="144"/>
      <c r="AN739" s="144"/>
      <c r="AO739" s="144"/>
      <c r="AP739" s="144"/>
      <c r="AQ739" s="144"/>
      <c r="AR739" s="144"/>
      <c r="AS739" s="144"/>
    </row>
    <row r="740">
      <c r="AL740" s="144"/>
      <c r="AM740" s="144"/>
      <c r="AN740" s="144"/>
      <c r="AO740" s="144"/>
      <c r="AP740" s="144"/>
      <c r="AQ740" s="144"/>
      <c r="AR740" s="144"/>
      <c r="AS740" s="144"/>
    </row>
    <row r="741">
      <c r="AL741" s="144"/>
      <c r="AM741" s="144"/>
      <c r="AN741" s="144"/>
      <c r="AO741" s="144"/>
      <c r="AP741" s="144"/>
      <c r="AQ741" s="144"/>
      <c r="AR741" s="144"/>
      <c r="AS741" s="144"/>
    </row>
    <row r="742">
      <c r="AL742" s="144"/>
      <c r="AM742" s="144"/>
      <c r="AN742" s="144"/>
      <c r="AO742" s="144"/>
      <c r="AP742" s="144"/>
      <c r="AQ742" s="144"/>
      <c r="AR742" s="144"/>
      <c r="AS742" s="144"/>
    </row>
    <row r="743">
      <c r="AL743" s="144"/>
      <c r="AM743" s="144"/>
      <c r="AN743" s="144"/>
      <c r="AO743" s="144"/>
      <c r="AP743" s="144"/>
      <c r="AQ743" s="144"/>
      <c r="AR743" s="144"/>
      <c r="AS743" s="144"/>
    </row>
    <row r="744">
      <c r="AL744" s="144"/>
      <c r="AM744" s="144"/>
      <c r="AN744" s="144"/>
      <c r="AO744" s="144"/>
      <c r="AP744" s="144"/>
      <c r="AQ744" s="144"/>
      <c r="AR744" s="144"/>
      <c r="AS744" s="144"/>
    </row>
    <row r="745">
      <c r="AL745" s="144"/>
      <c r="AM745" s="144"/>
      <c r="AN745" s="144"/>
      <c r="AO745" s="144"/>
      <c r="AP745" s="144"/>
      <c r="AQ745" s="144"/>
      <c r="AR745" s="144"/>
      <c r="AS745" s="144"/>
    </row>
    <row r="746">
      <c r="AL746" s="144"/>
      <c r="AM746" s="144"/>
      <c r="AN746" s="144"/>
      <c r="AO746" s="144"/>
      <c r="AP746" s="144"/>
      <c r="AQ746" s="144"/>
      <c r="AR746" s="144"/>
      <c r="AS746" s="144"/>
    </row>
    <row r="747">
      <c r="AL747" s="144"/>
      <c r="AM747" s="144"/>
      <c r="AN747" s="144"/>
      <c r="AO747" s="144"/>
      <c r="AP747" s="144"/>
      <c r="AQ747" s="144"/>
      <c r="AR747" s="144"/>
      <c r="AS747" s="144"/>
    </row>
    <row r="748">
      <c r="AL748" s="144"/>
      <c r="AM748" s="144"/>
      <c r="AN748" s="144"/>
      <c r="AO748" s="144"/>
      <c r="AP748" s="144"/>
      <c r="AQ748" s="144"/>
      <c r="AR748" s="144"/>
      <c r="AS748" s="144"/>
    </row>
    <row r="749">
      <c r="AL749" s="144"/>
      <c r="AM749" s="144"/>
      <c r="AN749" s="144"/>
      <c r="AO749" s="144"/>
      <c r="AP749" s="144"/>
      <c r="AQ749" s="144"/>
      <c r="AR749" s="144"/>
      <c r="AS749" s="144"/>
    </row>
    <row r="750">
      <c r="AL750" s="144"/>
      <c r="AM750" s="144"/>
      <c r="AN750" s="144"/>
      <c r="AO750" s="144"/>
      <c r="AP750" s="144"/>
      <c r="AQ750" s="144"/>
      <c r="AR750" s="144"/>
      <c r="AS750" s="144"/>
    </row>
    <row r="751">
      <c r="AL751" s="144"/>
      <c r="AM751" s="144"/>
      <c r="AN751" s="144"/>
      <c r="AO751" s="144"/>
      <c r="AP751" s="144"/>
      <c r="AQ751" s="144"/>
      <c r="AR751" s="144"/>
      <c r="AS751" s="144"/>
    </row>
    <row r="752">
      <c r="AL752" s="144"/>
      <c r="AM752" s="144"/>
      <c r="AN752" s="144"/>
      <c r="AO752" s="144"/>
      <c r="AP752" s="144"/>
      <c r="AQ752" s="144"/>
      <c r="AR752" s="144"/>
      <c r="AS752" s="144"/>
    </row>
    <row r="753">
      <c r="AL753" s="144"/>
      <c r="AM753" s="144"/>
      <c r="AN753" s="144"/>
      <c r="AO753" s="144"/>
      <c r="AP753" s="144"/>
      <c r="AQ753" s="144"/>
      <c r="AR753" s="144"/>
      <c r="AS753" s="144"/>
    </row>
    <row r="754">
      <c r="AL754" s="144"/>
      <c r="AM754" s="144"/>
      <c r="AN754" s="144"/>
      <c r="AO754" s="144"/>
      <c r="AP754" s="144"/>
      <c r="AQ754" s="144"/>
      <c r="AR754" s="144"/>
      <c r="AS754" s="144"/>
    </row>
    <row r="755">
      <c r="AL755" s="144"/>
      <c r="AM755" s="144"/>
      <c r="AN755" s="144"/>
      <c r="AO755" s="144"/>
      <c r="AP755" s="144"/>
      <c r="AQ755" s="144"/>
      <c r="AR755" s="144"/>
      <c r="AS755" s="144"/>
    </row>
    <row r="756">
      <c r="AL756" s="144"/>
      <c r="AM756" s="144"/>
      <c r="AN756" s="144"/>
      <c r="AO756" s="144"/>
      <c r="AP756" s="144"/>
      <c r="AQ756" s="144"/>
      <c r="AR756" s="144"/>
      <c r="AS756" s="144"/>
    </row>
    <row r="757">
      <c r="AL757" s="144"/>
      <c r="AM757" s="144"/>
      <c r="AN757" s="144"/>
      <c r="AO757" s="144"/>
      <c r="AP757" s="144"/>
      <c r="AQ757" s="144"/>
      <c r="AR757" s="144"/>
      <c r="AS757" s="144"/>
    </row>
    <row r="758">
      <c r="AL758" s="144"/>
      <c r="AM758" s="144"/>
      <c r="AN758" s="144"/>
      <c r="AO758" s="144"/>
      <c r="AP758" s="144"/>
      <c r="AQ758" s="144"/>
      <c r="AR758" s="144"/>
      <c r="AS758" s="144"/>
    </row>
    <row r="759">
      <c r="AL759" s="144"/>
      <c r="AM759" s="144"/>
      <c r="AN759" s="144"/>
      <c r="AO759" s="144"/>
      <c r="AP759" s="144"/>
      <c r="AQ759" s="144"/>
      <c r="AR759" s="144"/>
      <c r="AS759" s="144"/>
    </row>
    <row r="760">
      <c r="AL760" s="144"/>
      <c r="AM760" s="144"/>
      <c r="AN760" s="144"/>
      <c r="AO760" s="144"/>
      <c r="AP760" s="144"/>
      <c r="AQ760" s="144"/>
      <c r="AR760" s="144"/>
      <c r="AS760" s="144"/>
    </row>
    <row r="761">
      <c r="AL761" s="144"/>
      <c r="AM761" s="144"/>
      <c r="AN761" s="144"/>
      <c r="AO761" s="144"/>
      <c r="AP761" s="144"/>
      <c r="AQ761" s="144"/>
      <c r="AR761" s="144"/>
      <c r="AS761" s="144"/>
    </row>
    <row r="762">
      <c r="AL762" s="144"/>
      <c r="AM762" s="144"/>
      <c r="AN762" s="144"/>
      <c r="AO762" s="144"/>
      <c r="AP762" s="144"/>
      <c r="AQ762" s="144"/>
      <c r="AR762" s="144"/>
      <c r="AS762" s="144"/>
    </row>
    <row r="763">
      <c r="AL763" s="144"/>
      <c r="AM763" s="144"/>
      <c r="AN763" s="144"/>
      <c r="AO763" s="144"/>
      <c r="AP763" s="144"/>
      <c r="AQ763" s="144"/>
      <c r="AR763" s="144"/>
      <c r="AS763" s="144"/>
    </row>
    <row r="764">
      <c r="AL764" s="144"/>
      <c r="AM764" s="144"/>
      <c r="AN764" s="144"/>
      <c r="AO764" s="144"/>
      <c r="AP764" s="144"/>
      <c r="AQ764" s="144"/>
      <c r="AR764" s="144"/>
      <c r="AS764" s="144"/>
    </row>
    <row r="765">
      <c r="AL765" s="144"/>
      <c r="AM765" s="144"/>
      <c r="AN765" s="144"/>
      <c r="AO765" s="144"/>
      <c r="AP765" s="144"/>
      <c r="AQ765" s="144"/>
      <c r="AR765" s="144"/>
      <c r="AS765" s="144"/>
    </row>
    <row r="766">
      <c r="AL766" s="144"/>
      <c r="AM766" s="144"/>
      <c r="AN766" s="144"/>
      <c r="AO766" s="144"/>
      <c r="AP766" s="144"/>
      <c r="AQ766" s="144"/>
      <c r="AR766" s="144"/>
      <c r="AS766" s="144"/>
    </row>
    <row r="767">
      <c r="AL767" s="144"/>
      <c r="AM767" s="144"/>
      <c r="AN767" s="144"/>
      <c r="AO767" s="144"/>
      <c r="AP767" s="144"/>
      <c r="AQ767" s="144"/>
      <c r="AR767" s="144"/>
      <c r="AS767" s="144"/>
    </row>
    <row r="768">
      <c r="AL768" s="144"/>
      <c r="AM768" s="144"/>
      <c r="AN768" s="144"/>
      <c r="AO768" s="144"/>
      <c r="AP768" s="144"/>
      <c r="AQ768" s="144"/>
      <c r="AR768" s="144"/>
      <c r="AS768" s="144"/>
    </row>
    <row r="769">
      <c r="AL769" s="144"/>
      <c r="AM769" s="144"/>
      <c r="AN769" s="144"/>
      <c r="AO769" s="144"/>
      <c r="AP769" s="144"/>
      <c r="AQ769" s="144"/>
      <c r="AR769" s="144"/>
      <c r="AS769" s="144"/>
    </row>
    <row r="770">
      <c r="AL770" s="144"/>
      <c r="AM770" s="144"/>
      <c r="AN770" s="144"/>
      <c r="AO770" s="144"/>
      <c r="AP770" s="144"/>
      <c r="AQ770" s="144"/>
      <c r="AR770" s="144"/>
      <c r="AS770" s="144"/>
    </row>
    <row r="771">
      <c r="AL771" s="144"/>
      <c r="AM771" s="144"/>
      <c r="AN771" s="144"/>
      <c r="AO771" s="144"/>
      <c r="AP771" s="144"/>
      <c r="AQ771" s="144"/>
      <c r="AR771" s="144"/>
      <c r="AS771" s="144"/>
    </row>
    <row r="772">
      <c r="AL772" s="144"/>
      <c r="AM772" s="144"/>
      <c r="AN772" s="144"/>
      <c r="AO772" s="144"/>
      <c r="AP772" s="144"/>
      <c r="AQ772" s="144"/>
      <c r="AR772" s="144"/>
      <c r="AS772" s="144"/>
    </row>
    <row r="773">
      <c r="AL773" s="144"/>
      <c r="AM773" s="144"/>
      <c r="AN773" s="144"/>
      <c r="AO773" s="144"/>
      <c r="AP773" s="144"/>
      <c r="AQ773" s="144"/>
      <c r="AR773" s="144"/>
      <c r="AS773" s="144"/>
    </row>
    <row r="774">
      <c r="AL774" s="144"/>
      <c r="AM774" s="144"/>
      <c r="AN774" s="144"/>
      <c r="AO774" s="144"/>
      <c r="AP774" s="144"/>
      <c r="AQ774" s="144"/>
      <c r="AR774" s="144"/>
      <c r="AS774" s="144"/>
    </row>
    <row r="775">
      <c r="AL775" s="144"/>
      <c r="AM775" s="144"/>
      <c r="AN775" s="144"/>
      <c r="AO775" s="144"/>
      <c r="AP775" s="144"/>
      <c r="AQ775" s="144"/>
      <c r="AR775" s="144"/>
      <c r="AS775" s="144"/>
    </row>
    <row r="776">
      <c r="AL776" s="144"/>
      <c r="AM776" s="144"/>
      <c r="AN776" s="144"/>
      <c r="AO776" s="144"/>
      <c r="AP776" s="144"/>
      <c r="AQ776" s="144"/>
      <c r="AR776" s="144"/>
      <c r="AS776" s="144"/>
    </row>
    <row r="777">
      <c r="AL777" s="144"/>
      <c r="AM777" s="144"/>
      <c r="AN777" s="144"/>
      <c r="AO777" s="144"/>
      <c r="AP777" s="144"/>
      <c r="AQ777" s="144"/>
      <c r="AR777" s="144"/>
      <c r="AS777" s="144"/>
    </row>
    <row r="778">
      <c r="AL778" s="144"/>
      <c r="AM778" s="144"/>
      <c r="AN778" s="144"/>
      <c r="AO778" s="144"/>
      <c r="AP778" s="144"/>
      <c r="AQ778" s="144"/>
      <c r="AR778" s="144"/>
      <c r="AS778" s="144"/>
    </row>
    <row r="779">
      <c r="AL779" s="144"/>
      <c r="AM779" s="144"/>
      <c r="AN779" s="144"/>
      <c r="AO779" s="144"/>
      <c r="AP779" s="144"/>
      <c r="AQ779" s="144"/>
      <c r="AR779" s="144"/>
      <c r="AS779" s="144"/>
    </row>
    <row r="780">
      <c r="AL780" s="144"/>
      <c r="AM780" s="144"/>
      <c r="AN780" s="144"/>
      <c r="AO780" s="144"/>
      <c r="AP780" s="144"/>
      <c r="AQ780" s="144"/>
      <c r="AR780" s="144"/>
      <c r="AS780" s="144"/>
    </row>
    <row r="781">
      <c r="AL781" s="144"/>
      <c r="AM781" s="144"/>
      <c r="AN781" s="144"/>
      <c r="AO781" s="144"/>
      <c r="AP781" s="144"/>
      <c r="AQ781" s="144"/>
      <c r="AR781" s="144"/>
      <c r="AS781" s="144"/>
    </row>
    <row r="782">
      <c r="AL782" s="144"/>
      <c r="AM782" s="144"/>
      <c r="AN782" s="144"/>
      <c r="AO782" s="144"/>
      <c r="AP782" s="144"/>
      <c r="AQ782" s="144"/>
      <c r="AR782" s="144"/>
      <c r="AS782" s="144"/>
    </row>
    <row r="783">
      <c r="AL783" s="144"/>
      <c r="AM783" s="144"/>
      <c r="AN783" s="144"/>
      <c r="AO783" s="144"/>
      <c r="AP783" s="144"/>
      <c r="AQ783" s="144"/>
      <c r="AR783" s="144"/>
      <c r="AS783" s="144"/>
    </row>
    <row r="784">
      <c r="AL784" s="144"/>
      <c r="AM784" s="144"/>
      <c r="AN784" s="144"/>
      <c r="AO784" s="144"/>
      <c r="AP784" s="144"/>
      <c r="AQ784" s="144"/>
      <c r="AR784" s="144"/>
      <c r="AS784" s="144"/>
    </row>
    <row r="785">
      <c r="AL785" s="144"/>
      <c r="AM785" s="144"/>
      <c r="AN785" s="144"/>
      <c r="AO785" s="144"/>
      <c r="AP785" s="144"/>
      <c r="AQ785" s="144"/>
      <c r="AR785" s="144"/>
      <c r="AS785" s="144"/>
    </row>
    <row r="786">
      <c r="AL786" s="144"/>
      <c r="AM786" s="144"/>
      <c r="AN786" s="144"/>
      <c r="AO786" s="144"/>
      <c r="AP786" s="144"/>
      <c r="AQ786" s="144"/>
      <c r="AR786" s="144"/>
      <c r="AS786" s="144"/>
    </row>
    <row r="787">
      <c r="AL787" s="144"/>
      <c r="AM787" s="144"/>
      <c r="AN787" s="144"/>
      <c r="AO787" s="144"/>
      <c r="AP787" s="144"/>
      <c r="AQ787" s="144"/>
      <c r="AR787" s="144"/>
      <c r="AS787" s="144"/>
    </row>
    <row r="788">
      <c r="AL788" s="144"/>
      <c r="AM788" s="144"/>
      <c r="AN788" s="144"/>
      <c r="AO788" s="144"/>
      <c r="AP788" s="144"/>
      <c r="AQ788" s="144"/>
      <c r="AR788" s="144"/>
      <c r="AS788" s="144"/>
    </row>
    <row r="789">
      <c r="AL789" s="144"/>
      <c r="AM789" s="144"/>
      <c r="AN789" s="144"/>
      <c r="AO789" s="144"/>
      <c r="AP789" s="144"/>
      <c r="AQ789" s="144"/>
      <c r="AR789" s="144"/>
      <c r="AS789" s="144"/>
    </row>
    <row r="790">
      <c r="AL790" s="144"/>
      <c r="AM790" s="144"/>
      <c r="AN790" s="144"/>
      <c r="AO790" s="144"/>
      <c r="AP790" s="144"/>
      <c r="AQ790" s="144"/>
      <c r="AR790" s="144"/>
      <c r="AS790" s="144"/>
    </row>
    <row r="791">
      <c r="AL791" s="144"/>
      <c r="AM791" s="144"/>
      <c r="AN791" s="144"/>
      <c r="AO791" s="144"/>
      <c r="AP791" s="144"/>
      <c r="AQ791" s="144"/>
      <c r="AR791" s="144"/>
      <c r="AS791" s="144"/>
    </row>
    <row r="792">
      <c r="AL792" s="144"/>
      <c r="AM792" s="144"/>
      <c r="AN792" s="144"/>
      <c r="AO792" s="144"/>
      <c r="AP792" s="144"/>
      <c r="AQ792" s="144"/>
      <c r="AR792" s="144"/>
      <c r="AS792" s="144"/>
    </row>
    <row r="793">
      <c r="AL793" s="144"/>
      <c r="AM793" s="144"/>
      <c r="AN793" s="144"/>
      <c r="AO793" s="144"/>
      <c r="AP793" s="144"/>
      <c r="AQ793" s="144"/>
      <c r="AR793" s="144"/>
      <c r="AS793" s="144"/>
    </row>
    <row r="794">
      <c r="AL794" s="144"/>
      <c r="AM794" s="144"/>
      <c r="AN794" s="144"/>
      <c r="AO794" s="144"/>
      <c r="AP794" s="144"/>
      <c r="AQ794" s="144"/>
      <c r="AR794" s="144"/>
      <c r="AS794" s="144"/>
    </row>
    <row r="795">
      <c r="AL795" s="144"/>
      <c r="AM795" s="144"/>
      <c r="AN795" s="144"/>
      <c r="AO795" s="144"/>
      <c r="AP795" s="144"/>
      <c r="AQ795" s="144"/>
      <c r="AR795" s="144"/>
      <c r="AS795" s="144"/>
    </row>
    <row r="796">
      <c r="AL796" s="144"/>
      <c r="AM796" s="144"/>
      <c r="AN796" s="144"/>
      <c r="AO796" s="144"/>
      <c r="AP796" s="144"/>
      <c r="AQ796" s="144"/>
      <c r="AR796" s="144"/>
      <c r="AS796" s="144"/>
    </row>
    <row r="797">
      <c r="AL797" s="144"/>
      <c r="AM797" s="144"/>
      <c r="AN797" s="144"/>
      <c r="AO797" s="144"/>
      <c r="AP797" s="144"/>
      <c r="AQ797" s="144"/>
      <c r="AR797" s="144"/>
      <c r="AS797" s="144"/>
    </row>
    <row r="798">
      <c r="AL798" s="144"/>
      <c r="AM798" s="144"/>
      <c r="AN798" s="144"/>
      <c r="AO798" s="144"/>
      <c r="AP798" s="144"/>
      <c r="AQ798" s="144"/>
      <c r="AR798" s="144"/>
      <c r="AS798" s="144"/>
    </row>
    <row r="799">
      <c r="AL799" s="144"/>
      <c r="AM799" s="144"/>
      <c r="AN799" s="144"/>
      <c r="AO799" s="144"/>
      <c r="AP799" s="144"/>
      <c r="AQ799" s="144"/>
      <c r="AR799" s="144"/>
      <c r="AS799" s="144"/>
    </row>
    <row r="800">
      <c r="AL800" s="144"/>
      <c r="AM800" s="144"/>
      <c r="AN800" s="144"/>
      <c r="AO800" s="144"/>
      <c r="AP800" s="144"/>
      <c r="AQ800" s="144"/>
      <c r="AR800" s="144"/>
      <c r="AS800" s="144"/>
    </row>
    <row r="801">
      <c r="AL801" s="144"/>
      <c r="AM801" s="144"/>
      <c r="AN801" s="144"/>
      <c r="AO801" s="144"/>
      <c r="AP801" s="144"/>
      <c r="AQ801" s="144"/>
      <c r="AR801" s="144"/>
      <c r="AS801" s="144"/>
    </row>
    <row r="802">
      <c r="AL802" s="144"/>
      <c r="AM802" s="144"/>
      <c r="AN802" s="144"/>
      <c r="AO802" s="144"/>
      <c r="AP802" s="144"/>
      <c r="AQ802" s="144"/>
      <c r="AR802" s="144"/>
      <c r="AS802" s="144"/>
    </row>
    <row r="803">
      <c r="AL803" s="144"/>
      <c r="AM803" s="144"/>
      <c r="AN803" s="144"/>
      <c r="AO803" s="144"/>
      <c r="AP803" s="144"/>
      <c r="AQ803" s="144"/>
      <c r="AR803" s="144"/>
      <c r="AS803" s="144"/>
    </row>
    <row r="804">
      <c r="AL804" s="144"/>
      <c r="AM804" s="144"/>
      <c r="AN804" s="144"/>
      <c r="AO804" s="144"/>
      <c r="AP804" s="144"/>
      <c r="AQ804" s="144"/>
      <c r="AR804" s="144"/>
      <c r="AS804" s="144"/>
    </row>
    <row r="805">
      <c r="AL805" s="144"/>
      <c r="AM805" s="144"/>
      <c r="AN805" s="144"/>
      <c r="AO805" s="144"/>
      <c r="AP805" s="144"/>
      <c r="AQ805" s="144"/>
      <c r="AR805" s="144"/>
      <c r="AS805" s="144"/>
    </row>
    <row r="806">
      <c r="AL806" s="144"/>
      <c r="AM806" s="144"/>
      <c r="AN806" s="144"/>
      <c r="AO806" s="144"/>
      <c r="AP806" s="144"/>
      <c r="AQ806" s="144"/>
      <c r="AR806" s="144"/>
      <c r="AS806" s="144"/>
    </row>
    <row r="807">
      <c r="AL807" s="144"/>
      <c r="AM807" s="144"/>
      <c r="AN807" s="144"/>
      <c r="AO807" s="144"/>
      <c r="AP807" s="144"/>
      <c r="AQ807" s="144"/>
      <c r="AR807" s="144"/>
      <c r="AS807" s="144"/>
    </row>
    <row r="808">
      <c r="AL808" s="144"/>
      <c r="AM808" s="144"/>
      <c r="AN808" s="144"/>
      <c r="AO808" s="144"/>
      <c r="AP808" s="144"/>
      <c r="AQ808" s="144"/>
      <c r="AR808" s="144"/>
      <c r="AS808" s="144"/>
    </row>
    <row r="809">
      <c r="AL809" s="144"/>
      <c r="AM809" s="144"/>
      <c r="AN809" s="144"/>
      <c r="AO809" s="144"/>
      <c r="AP809" s="144"/>
      <c r="AQ809" s="144"/>
      <c r="AR809" s="144"/>
      <c r="AS809" s="144"/>
    </row>
    <row r="810">
      <c r="AL810" s="144"/>
      <c r="AM810" s="144"/>
      <c r="AN810" s="144"/>
      <c r="AO810" s="144"/>
      <c r="AP810" s="144"/>
      <c r="AQ810" s="144"/>
      <c r="AR810" s="144"/>
      <c r="AS810" s="144"/>
    </row>
    <row r="811">
      <c r="AL811" s="144"/>
      <c r="AM811" s="144"/>
      <c r="AN811" s="144"/>
      <c r="AO811" s="144"/>
      <c r="AP811" s="144"/>
      <c r="AQ811" s="144"/>
      <c r="AR811" s="144"/>
      <c r="AS811" s="144"/>
    </row>
    <row r="812">
      <c r="AL812" s="144"/>
      <c r="AM812" s="144"/>
      <c r="AN812" s="144"/>
      <c r="AO812" s="144"/>
      <c r="AP812" s="144"/>
      <c r="AQ812" s="144"/>
      <c r="AR812" s="144"/>
      <c r="AS812" s="144"/>
    </row>
    <row r="813">
      <c r="AL813" s="144"/>
      <c r="AM813" s="144"/>
      <c r="AN813" s="144"/>
      <c r="AO813" s="144"/>
      <c r="AP813" s="144"/>
      <c r="AQ813" s="144"/>
      <c r="AR813" s="144"/>
      <c r="AS813" s="144"/>
    </row>
    <row r="814">
      <c r="AL814" s="144"/>
      <c r="AM814" s="144"/>
      <c r="AN814" s="144"/>
      <c r="AO814" s="144"/>
      <c r="AP814" s="144"/>
      <c r="AQ814" s="144"/>
      <c r="AR814" s="144"/>
      <c r="AS814" s="144"/>
    </row>
    <row r="815">
      <c r="AL815" s="144"/>
      <c r="AM815" s="144"/>
      <c r="AN815" s="144"/>
      <c r="AO815" s="144"/>
      <c r="AP815" s="144"/>
      <c r="AQ815" s="144"/>
      <c r="AR815" s="144"/>
      <c r="AS815" s="144"/>
    </row>
    <row r="816">
      <c r="AL816" s="144"/>
      <c r="AM816" s="144"/>
      <c r="AN816" s="144"/>
      <c r="AO816" s="144"/>
      <c r="AP816" s="144"/>
      <c r="AQ816" s="144"/>
      <c r="AR816" s="144"/>
      <c r="AS816" s="144"/>
    </row>
    <row r="817">
      <c r="AL817" s="144"/>
      <c r="AM817" s="144"/>
      <c r="AN817" s="144"/>
      <c r="AO817" s="144"/>
      <c r="AP817" s="144"/>
      <c r="AQ817" s="144"/>
      <c r="AR817" s="144"/>
      <c r="AS817" s="144"/>
    </row>
    <row r="818">
      <c r="AL818" s="144"/>
      <c r="AM818" s="144"/>
      <c r="AN818" s="144"/>
      <c r="AO818" s="144"/>
      <c r="AP818" s="144"/>
      <c r="AQ818" s="144"/>
      <c r="AR818" s="144"/>
      <c r="AS818" s="144"/>
    </row>
    <row r="819">
      <c r="AL819" s="144"/>
      <c r="AM819" s="144"/>
      <c r="AN819" s="144"/>
      <c r="AO819" s="144"/>
      <c r="AP819" s="144"/>
      <c r="AQ819" s="144"/>
      <c r="AR819" s="144"/>
      <c r="AS819" s="144"/>
    </row>
    <row r="820">
      <c r="AL820" s="144"/>
      <c r="AM820" s="144"/>
      <c r="AN820" s="144"/>
      <c r="AO820" s="144"/>
      <c r="AP820" s="144"/>
      <c r="AQ820" s="144"/>
      <c r="AR820" s="144"/>
      <c r="AS820" s="144"/>
    </row>
    <row r="821">
      <c r="AL821" s="144"/>
      <c r="AM821" s="144"/>
      <c r="AN821" s="144"/>
      <c r="AO821" s="144"/>
      <c r="AP821" s="144"/>
      <c r="AQ821" s="144"/>
      <c r="AR821" s="144"/>
      <c r="AS821" s="144"/>
    </row>
    <row r="822">
      <c r="AL822" s="144"/>
      <c r="AM822" s="144"/>
      <c r="AN822" s="144"/>
      <c r="AO822" s="144"/>
      <c r="AP822" s="144"/>
      <c r="AQ822" s="144"/>
      <c r="AR822" s="144"/>
      <c r="AS822" s="144"/>
    </row>
    <row r="823">
      <c r="AL823" s="144"/>
      <c r="AM823" s="144"/>
      <c r="AN823" s="144"/>
      <c r="AO823" s="144"/>
      <c r="AP823" s="144"/>
      <c r="AQ823" s="144"/>
      <c r="AR823" s="144"/>
      <c r="AS823" s="144"/>
    </row>
    <row r="824">
      <c r="AL824" s="144"/>
      <c r="AM824" s="144"/>
      <c r="AN824" s="144"/>
      <c r="AO824" s="144"/>
      <c r="AP824" s="144"/>
      <c r="AQ824" s="144"/>
      <c r="AR824" s="144"/>
      <c r="AS824" s="144"/>
    </row>
    <row r="825">
      <c r="AL825" s="144"/>
      <c r="AM825" s="144"/>
      <c r="AN825" s="144"/>
      <c r="AO825" s="144"/>
      <c r="AP825" s="144"/>
      <c r="AQ825" s="144"/>
      <c r="AR825" s="144"/>
      <c r="AS825" s="144"/>
    </row>
    <row r="826">
      <c r="AL826" s="144"/>
      <c r="AM826" s="144"/>
      <c r="AN826" s="144"/>
      <c r="AO826" s="144"/>
      <c r="AP826" s="144"/>
      <c r="AQ826" s="144"/>
      <c r="AR826" s="144"/>
      <c r="AS826" s="144"/>
    </row>
    <row r="827">
      <c r="AL827" s="144"/>
      <c r="AM827" s="144"/>
      <c r="AN827" s="144"/>
      <c r="AO827" s="144"/>
      <c r="AP827" s="144"/>
      <c r="AQ827" s="144"/>
      <c r="AR827" s="144"/>
      <c r="AS827" s="144"/>
    </row>
    <row r="828">
      <c r="AL828" s="144"/>
      <c r="AM828" s="144"/>
      <c r="AN828" s="144"/>
      <c r="AO828" s="144"/>
      <c r="AP828" s="144"/>
      <c r="AQ828" s="144"/>
      <c r="AR828" s="144"/>
      <c r="AS828" s="144"/>
    </row>
    <row r="829">
      <c r="AL829" s="144"/>
      <c r="AM829" s="144"/>
      <c r="AN829" s="144"/>
      <c r="AO829" s="144"/>
      <c r="AP829" s="144"/>
      <c r="AQ829" s="144"/>
      <c r="AR829" s="144"/>
      <c r="AS829" s="144"/>
    </row>
    <row r="830">
      <c r="AL830" s="144"/>
      <c r="AM830" s="144"/>
      <c r="AN830" s="144"/>
      <c r="AO830" s="144"/>
      <c r="AP830" s="144"/>
      <c r="AQ830" s="144"/>
      <c r="AR830" s="144"/>
      <c r="AS830" s="144"/>
    </row>
    <row r="831">
      <c r="AL831" s="144"/>
      <c r="AM831" s="144"/>
      <c r="AN831" s="144"/>
      <c r="AO831" s="144"/>
      <c r="AP831" s="144"/>
      <c r="AQ831" s="144"/>
      <c r="AR831" s="144"/>
      <c r="AS831" s="144"/>
    </row>
    <row r="832">
      <c r="AL832" s="144"/>
      <c r="AM832" s="144"/>
      <c r="AN832" s="144"/>
      <c r="AO832" s="144"/>
      <c r="AP832" s="144"/>
      <c r="AQ832" s="144"/>
      <c r="AR832" s="144"/>
      <c r="AS832" s="144"/>
    </row>
    <row r="833">
      <c r="AL833" s="144"/>
      <c r="AM833" s="144"/>
      <c r="AN833" s="144"/>
      <c r="AO833" s="144"/>
      <c r="AP833" s="144"/>
      <c r="AQ833" s="144"/>
      <c r="AR833" s="144"/>
      <c r="AS833" s="144"/>
    </row>
    <row r="834">
      <c r="AL834" s="144"/>
      <c r="AM834" s="144"/>
      <c r="AN834" s="144"/>
      <c r="AO834" s="144"/>
      <c r="AP834" s="144"/>
      <c r="AQ834" s="144"/>
      <c r="AR834" s="144"/>
      <c r="AS834" s="144"/>
    </row>
    <row r="835">
      <c r="AL835" s="144"/>
      <c r="AM835" s="144"/>
      <c r="AN835" s="144"/>
      <c r="AO835" s="144"/>
      <c r="AP835" s="144"/>
      <c r="AQ835" s="144"/>
      <c r="AR835" s="144"/>
      <c r="AS835" s="144"/>
    </row>
    <row r="836">
      <c r="AL836" s="144"/>
      <c r="AM836" s="144"/>
      <c r="AN836" s="144"/>
      <c r="AO836" s="144"/>
      <c r="AP836" s="144"/>
      <c r="AQ836" s="144"/>
      <c r="AR836" s="144"/>
      <c r="AS836" s="144"/>
    </row>
    <row r="837">
      <c r="AL837" s="144"/>
      <c r="AM837" s="144"/>
      <c r="AN837" s="144"/>
      <c r="AO837" s="144"/>
      <c r="AP837" s="144"/>
      <c r="AQ837" s="144"/>
      <c r="AR837" s="144"/>
      <c r="AS837" s="144"/>
    </row>
    <row r="838">
      <c r="AL838" s="144"/>
      <c r="AM838" s="144"/>
      <c r="AN838" s="144"/>
      <c r="AO838" s="144"/>
      <c r="AP838" s="144"/>
      <c r="AQ838" s="144"/>
      <c r="AR838" s="144"/>
      <c r="AS838" s="144"/>
    </row>
    <row r="839">
      <c r="AL839" s="144"/>
      <c r="AM839" s="144"/>
      <c r="AN839" s="144"/>
      <c r="AO839" s="144"/>
      <c r="AP839" s="144"/>
      <c r="AQ839" s="144"/>
      <c r="AR839" s="144"/>
      <c r="AS839" s="144"/>
    </row>
    <row r="840">
      <c r="AL840" s="144"/>
      <c r="AM840" s="144"/>
      <c r="AN840" s="144"/>
      <c r="AO840" s="144"/>
      <c r="AP840" s="144"/>
      <c r="AQ840" s="144"/>
      <c r="AR840" s="144"/>
      <c r="AS840" s="144"/>
    </row>
    <row r="841">
      <c r="AL841" s="144"/>
      <c r="AM841" s="144"/>
      <c r="AN841" s="144"/>
      <c r="AO841" s="144"/>
      <c r="AP841" s="144"/>
      <c r="AQ841" s="144"/>
      <c r="AR841" s="144"/>
      <c r="AS841" s="144"/>
    </row>
    <row r="842">
      <c r="AL842" s="144"/>
      <c r="AM842" s="144"/>
      <c r="AN842" s="144"/>
      <c r="AO842" s="144"/>
      <c r="AP842" s="144"/>
      <c r="AQ842" s="144"/>
      <c r="AR842" s="144"/>
      <c r="AS842" s="144"/>
    </row>
    <row r="843">
      <c r="AL843" s="144"/>
      <c r="AM843" s="144"/>
      <c r="AN843" s="144"/>
      <c r="AO843" s="144"/>
      <c r="AP843" s="144"/>
      <c r="AQ843" s="144"/>
      <c r="AR843" s="144"/>
      <c r="AS843" s="144"/>
    </row>
    <row r="844">
      <c r="AL844" s="144"/>
      <c r="AM844" s="144"/>
      <c r="AN844" s="144"/>
      <c r="AO844" s="144"/>
      <c r="AP844" s="144"/>
      <c r="AQ844" s="144"/>
      <c r="AR844" s="144"/>
      <c r="AS844" s="144"/>
    </row>
    <row r="845">
      <c r="AL845" s="144"/>
      <c r="AM845" s="144"/>
      <c r="AN845" s="144"/>
      <c r="AO845" s="144"/>
      <c r="AP845" s="144"/>
      <c r="AQ845" s="144"/>
      <c r="AR845" s="144"/>
      <c r="AS845" s="144"/>
    </row>
    <row r="846">
      <c r="AL846" s="144"/>
      <c r="AM846" s="144"/>
      <c r="AN846" s="144"/>
      <c r="AO846" s="144"/>
      <c r="AP846" s="144"/>
      <c r="AQ846" s="144"/>
      <c r="AR846" s="144"/>
      <c r="AS846" s="144"/>
    </row>
    <row r="847">
      <c r="AL847" s="144"/>
      <c r="AM847" s="144"/>
      <c r="AN847" s="144"/>
      <c r="AO847" s="144"/>
      <c r="AP847" s="144"/>
      <c r="AQ847" s="144"/>
      <c r="AR847" s="144"/>
      <c r="AS847" s="144"/>
    </row>
    <row r="848">
      <c r="AL848" s="144"/>
      <c r="AM848" s="144"/>
      <c r="AN848" s="144"/>
      <c r="AO848" s="144"/>
      <c r="AP848" s="144"/>
      <c r="AQ848" s="144"/>
      <c r="AR848" s="144"/>
      <c r="AS848" s="144"/>
    </row>
    <row r="849">
      <c r="AL849" s="144"/>
      <c r="AM849" s="144"/>
      <c r="AN849" s="144"/>
      <c r="AO849" s="144"/>
      <c r="AP849" s="144"/>
      <c r="AQ849" s="144"/>
      <c r="AR849" s="144"/>
      <c r="AS849" s="144"/>
    </row>
    <row r="850">
      <c r="AL850" s="144"/>
      <c r="AM850" s="144"/>
      <c r="AN850" s="144"/>
      <c r="AO850" s="144"/>
      <c r="AP850" s="144"/>
      <c r="AQ850" s="144"/>
      <c r="AR850" s="144"/>
      <c r="AS850" s="144"/>
    </row>
    <row r="851">
      <c r="AL851" s="144"/>
      <c r="AM851" s="144"/>
      <c r="AN851" s="144"/>
      <c r="AO851" s="144"/>
      <c r="AP851" s="144"/>
      <c r="AQ851" s="144"/>
      <c r="AR851" s="144"/>
      <c r="AS851" s="144"/>
    </row>
    <row r="852">
      <c r="AL852" s="144"/>
      <c r="AM852" s="144"/>
      <c r="AN852" s="144"/>
      <c r="AO852" s="144"/>
      <c r="AP852" s="144"/>
      <c r="AQ852" s="144"/>
      <c r="AR852" s="144"/>
      <c r="AS852" s="144"/>
    </row>
    <row r="853">
      <c r="AL853" s="144"/>
      <c r="AM853" s="144"/>
      <c r="AN853" s="144"/>
      <c r="AO853" s="144"/>
      <c r="AP853" s="144"/>
      <c r="AQ853" s="144"/>
      <c r="AR853" s="144"/>
      <c r="AS853" s="144"/>
    </row>
    <row r="854">
      <c r="AL854" s="144"/>
      <c r="AM854" s="144"/>
      <c r="AN854" s="144"/>
      <c r="AO854" s="144"/>
      <c r="AP854" s="144"/>
      <c r="AQ854" s="144"/>
      <c r="AR854" s="144"/>
      <c r="AS854" s="144"/>
    </row>
    <row r="855">
      <c r="AL855" s="144"/>
      <c r="AM855" s="144"/>
      <c r="AN855" s="144"/>
      <c r="AO855" s="144"/>
      <c r="AP855" s="144"/>
      <c r="AQ855" s="144"/>
      <c r="AR855" s="144"/>
      <c r="AS855" s="144"/>
    </row>
    <row r="856">
      <c r="AL856" s="144"/>
      <c r="AM856" s="144"/>
      <c r="AN856" s="144"/>
      <c r="AO856" s="144"/>
      <c r="AP856" s="144"/>
      <c r="AQ856" s="144"/>
      <c r="AR856" s="144"/>
      <c r="AS856" s="144"/>
    </row>
    <row r="857">
      <c r="AL857" s="144"/>
      <c r="AM857" s="144"/>
      <c r="AN857" s="144"/>
      <c r="AO857" s="144"/>
      <c r="AP857" s="144"/>
      <c r="AQ857" s="144"/>
      <c r="AR857" s="144"/>
      <c r="AS857" s="144"/>
    </row>
    <row r="858">
      <c r="AL858" s="144"/>
      <c r="AM858" s="144"/>
      <c r="AN858" s="144"/>
      <c r="AO858" s="144"/>
      <c r="AP858" s="144"/>
      <c r="AQ858" s="144"/>
      <c r="AR858" s="144"/>
      <c r="AS858" s="144"/>
    </row>
    <row r="859">
      <c r="AL859" s="144"/>
      <c r="AM859" s="144"/>
      <c r="AN859" s="144"/>
      <c r="AO859" s="144"/>
      <c r="AP859" s="144"/>
      <c r="AQ859" s="144"/>
      <c r="AR859" s="144"/>
      <c r="AS859" s="144"/>
    </row>
    <row r="860">
      <c r="AL860" s="144"/>
      <c r="AM860" s="144"/>
      <c r="AN860" s="144"/>
      <c r="AO860" s="144"/>
      <c r="AP860" s="144"/>
      <c r="AQ860" s="144"/>
      <c r="AR860" s="144"/>
      <c r="AS860" s="144"/>
    </row>
    <row r="861">
      <c r="AL861" s="144"/>
      <c r="AM861" s="144"/>
      <c r="AN861" s="144"/>
      <c r="AO861" s="144"/>
      <c r="AP861" s="144"/>
      <c r="AQ861" s="144"/>
      <c r="AR861" s="144"/>
      <c r="AS861" s="144"/>
    </row>
    <row r="862">
      <c r="AL862" s="144"/>
      <c r="AM862" s="144"/>
      <c r="AN862" s="144"/>
      <c r="AO862" s="144"/>
      <c r="AP862" s="144"/>
      <c r="AQ862" s="144"/>
      <c r="AR862" s="144"/>
      <c r="AS862" s="144"/>
    </row>
    <row r="863">
      <c r="AL863" s="144"/>
      <c r="AM863" s="144"/>
      <c r="AN863" s="144"/>
      <c r="AO863" s="144"/>
      <c r="AP863" s="144"/>
      <c r="AQ863" s="144"/>
      <c r="AR863" s="144"/>
      <c r="AS863" s="144"/>
    </row>
    <row r="864">
      <c r="AL864" s="144"/>
      <c r="AM864" s="144"/>
      <c r="AN864" s="144"/>
      <c r="AO864" s="144"/>
      <c r="AP864" s="144"/>
      <c r="AQ864" s="144"/>
      <c r="AR864" s="144"/>
      <c r="AS864" s="144"/>
    </row>
    <row r="865">
      <c r="AL865" s="144"/>
      <c r="AM865" s="144"/>
      <c r="AN865" s="144"/>
      <c r="AO865" s="144"/>
      <c r="AP865" s="144"/>
      <c r="AQ865" s="144"/>
      <c r="AR865" s="144"/>
      <c r="AS865" s="144"/>
    </row>
    <row r="866">
      <c r="AL866" s="144"/>
      <c r="AM866" s="144"/>
      <c r="AN866" s="144"/>
      <c r="AO866" s="144"/>
      <c r="AP866" s="144"/>
      <c r="AQ866" s="144"/>
      <c r="AR866" s="144"/>
      <c r="AS866" s="144"/>
    </row>
    <row r="867">
      <c r="AL867" s="144"/>
      <c r="AM867" s="144"/>
      <c r="AN867" s="144"/>
      <c r="AO867" s="144"/>
      <c r="AP867" s="144"/>
      <c r="AQ867" s="144"/>
      <c r="AR867" s="144"/>
      <c r="AS867" s="144"/>
    </row>
    <row r="868">
      <c r="AL868" s="144"/>
      <c r="AM868" s="144"/>
      <c r="AN868" s="144"/>
      <c r="AO868" s="144"/>
      <c r="AP868" s="144"/>
      <c r="AQ868" s="144"/>
      <c r="AR868" s="144"/>
      <c r="AS868" s="144"/>
    </row>
    <row r="869">
      <c r="AL869" s="144"/>
      <c r="AM869" s="144"/>
      <c r="AN869" s="144"/>
      <c r="AO869" s="144"/>
      <c r="AP869" s="144"/>
      <c r="AQ869" s="144"/>
      <c r="AR869" s="144"/>
      <c r="AS869" s="144"/>
    </row>
    <row r="870">
      <c r="AL870" s="144"/>
      <c r="AM870" s="144"/>
      <c r="AN870" s="144"/>
      <c r="AO870" s="144"/>
      <c r="AP870" s="144"/>
      <c r="AQ870" s="144"/>
      <c r="AR870" s="144"/>
      <c r="AS870" s="144"/>
    </row>
    <row r="871">
      <c r="AL871" s="144"/>
      <c r="AM871" s="144"/>
      <c r="AN871" s="144"/>
      <c r="AO871" s="144"/>
      <c r="AP871" s="144"/>
      <c r="AQ871" s="144"/>
      <c r="AR871" s="144"/>
      <c r="AS871" s="144"/>
    </row>
    <row r="872">
      <c r="AL872" s="144"/>
      <c r="AM872" s="144"/>
      <c r="AN872" s="144"/>
      <c r="AO872" s="144"/>
      <c r="AP872" s="144"/>
      <c r="AQ872" s="144"/>
      <c r="AR872" s="144"/>
      <c r="AS872" s="144"/>
    </row>
    <row r="873">
      <c r="AL873" s="144"/>
      <c r="AM873" s="144"/>
      <c r="AN873" s="144"/>
      <c r="AO873" s="144"/>
      <c r="AP873" s="144"/>
      <c r="AQ873" s="144"/>
      <c r="AR873" s="144"/>
      <c r="AS873" s="144"/>
    </row>
    <row r="874">
      <c r="AL874" s="144"/>
      <c r="AM874" s="144"/>
      <c r="AN874" s="144"/>
      <c r="AO874" s="144"/>
      <c r="AP874" s="144"/>
      <c r="AQ874" s="144"/>
      <c r="AR874" s="144"/>
      <c r="AS874" s="144"/>
    </row>
    <row r="875">
      <c r="AL875" s="144"/>
      <c r="AM875" s="144"/>
      <c r="AN875" s="144"/>
      <c r="AO875" s="144"/>
      <c r="AP875" s="144"/>
      <c r="AQ875" s="144"/>
      <c r="AR875" s="144"/>
      <c r="AS875" s="144"/>
    </row>
    <row r="876">
      <c r="AL876" s="144"/>
      <c r="AM876" s="144"/>
      <c r="AN876" s="144"/>
      <c r="AO876" s="144"/>
      <c r="AP876" s="144"/>
      <c r="AQ876" s="144"/>
      <c r="AR876" s="144"/>
      <c r="AS876" s="144"/>
    </row>
    <row r="877">
      <c r="AL877" s="144"/>
      <c r="AM877" s="144"/>
      <c r="AN877" s="144"/>
      <c r="AO877" s="144"/>
      <c r="AP877" s="144"/>
      <c r="AQ877" s="144"/>
      <c r="AR877" s="144"/>
      <c r="AS877" s="144"/>
    </row>
    <row r="878">
      <c r="AL878" s="144"/>
      <c r="AM878" s="144"/>
      <c r="AN878" s="144"/>
      <c r="AO878" s="144"/>
      <c r="AP878" s="144"/>
      <c r="AQ878" s="144"/>
      <c r="AR878" s="144"/>
      <c r="AS878" s="144"/>
    </row>
    <row r="879">
      <c r="AL879" s="144"/>
      <c r="AM879" s="144"/>
      <c r="AN879" s="144"/>
      <c r="AO879" s="144"/>
      <c r="AP879" s="144"/>
      <c r="AQ879" s="144"/>
      <c r="AR879" s="144"/>
      <c r="AS879" s="144"/>
    </row>
    <row r="880">
      <c r="AL880" s="144"/>
      <c r="AM880" s="144"/>
      <c r="AN880" s="144"/>
      <c r="AO880" s="144"/>
      <c r="AP880" s="144"/>
      <c r="AQ880" s="144"/>
      <c r="AR880" s="144"/>
      <c r="AS880" s="144"/>
    </row>
    <row r="881">
      <c r="AL881" s="144"/>
      <c r="AM881" s="144"/>
      <c r="AN881" s="144"/>
      <c r="AO881" s="144"/>
      <c r="AP881" s="144"/>
      <c r="AQ881" s="144"/>
      <c r="AR881" s="144"/>
      <c r="AS881" s="144"/>
    </row>
    <row r="882">
      <c r="AL882" s="144"/>
      <c r="AM882" s="144"/>
      <c r="AN882" s="144"/>
      <c r="AO882" s="144"/>
      <c r="AP882" s="144"/>
      <c r="AQ882" s="144"/>
      <c r="AR882" s="144"/>
      <c r="AS882" s="144"/>
    </row>
    <row r="883">
      <c r="AL883" s="144"/>
      <c r="AM883" s="144"/>
      <c r="AN883" s="144"/>
      <c r="AO883" s="144"/>
      <c r="AP883" s="144"/>
      <c r="AQ883" s="144"/>
      <c r="AR883" s="144"/>
      <c r="AS883" s="144"/>
    </row>
    <row r="884">
      <c r="AL884" s="144"/>
      <c r="AM884" s="144"/>
      <c r="AN884" s="144"/>
      <c r="AO884" s="144"/>
      <c r="AP884" s="144"/>
      <c r="AQ884" s="144"/>
      <c r="AR884" s="144"/>
      <c r="AS884" s="144"/>
    </row>
    <row r="885">
      <c r="AL885" s="144"/>
      <c r="AM885" s="144"/>
      <c r="AN885" s="144"/>
      <c r="AO885" s="144"/>
      <c r="AP885" s="144"/>
      <c r="AQ885" s="144"/>
      <c r="AR885" s="144"/>
      <c r="AS885" s="144"/>
    </row>
    <row r="886">
      <c r="AL886" s="144"/>
      <c r="AM886" s="144"/>
      <c r="AN886" s="144"/>
      <c r="AO886" s="144"/>
      <c r="AP886" s="144"/>
      <c r="AQ886" s="144"/>
      <c r="AR886" s="144"/>
      <c r="AS886" s="144"/>
    </row>
    <row r="887">
      <c r="AL887" s="144"/>
      <c r="AM887" s="144"/>
      <c r="AN887" s="144"/>
      <c r="AO887" s="144"/>
      <c r="AP887" s="144"/>
      <c r="AQ887" s="144"/>
      <c r="AR887" s="144"/>
      <c r="AS887" s="144"/>
    </row>
    <row r="888">
      <c r="AL888" s="144"/>
      <c r="AM888" s="144"/>
      <c r="AN888" s="144"/>
      <c r="AO888" s="144"/>
      <c r="AP888" s="144"/>
      <c r="AQ888" s="144"/>
      <c r="AR888" s="144"/>
      <c r="AS888" s="144"/>
    </row>
    <row r="889">
      <c r="AL889" s="144"/>
      <c r="AM889" s="144"/>
      <c r="AN889" s="144"/>
      <c r="AO889" s="144"/>
      <c r="AP889" s="144"/>
      <c r="AQ889" s="144"/>
      <c r="AR889" s="144"/>
      <c r="AS889" s="144"/>
    </row>
    <row r="890">
      <c r="AL890" s="144"/>
      <c r="AM890" s="144"/>
      <c r="AN890" s="144"/>
      <c r="AO890" s="144"/>
      <c r="AP890" s="144"/>
      <c r="AQ890" s="144"/>
      <c r="AR890" s="144"/>
      <c r="AS890" s="144"/>
    </row>
    <row r="891">
      <c r="AL891" s="144"/>
      <c r="AM891" s="144"/>
      <c r="AN891" s="144"/>
      <c r="AO891" s="144"/>
      <c r="AP891" s="144"/>
      <c r="AQ891" s="144"/>
      <c r="AR891" s="144"/>
      <c r="AS891" s="144"/>
    </row>
    <row r="892">
      <c r="AL892" s="144"/>
      <c r="AM892" s="144"/>
      <c r="AN892" s="144"/>
      <c r="AO892" s="144"/>
      <c r="AP892" s="144"/>
      <c r="AQ892" s="144"/>
      <c r="AR892" s="144"/>
      <c r="AS892" s="144"/>
    </row>
    <row r="893">
      <c r="AL893" s="144"/>
      <c r="AM893" s="144"/>
      <c r="AN893" s="144"/>
      <c r="AO893" s="144"/>
      <c r="AP893" s="144"/>
      <c r="AQ893" s="144"/>
      <c r="AR893" s="144"/>
      <c r="AS893" s="144"/>
    </row>
    <row r="894">
      <c r="AL894" s="144"/>
      <c r="AM894" s="144"/>
      <c r="AN894" s="144"/>
      <c r="AO894" s="144"/>
      <c r="AP894" s="144"/>
      <c r="AQ894" s="144"/>
      <c r="AR894" s="144"/>
      <c r="AS894" s="144"/>
    </row>
    <row r="895">
      <c r="AL895" s="144"/>
      <c r="AM895" s="144"/>
      <c r="AN895" s="144"/>
      <c r="AO895" s="144"/>
      <c r="AP895" s="144"/>
      <c r="AQ895" s="144"/>
      <c r="AR895" s="144"/>
      <c r="AS895" s="144"/>
    </row>
    <row r="896">
      <c r="AL896" s="144"/>
      <c r="AM896" s="144"/>
      <c r="AN896" s="144"/>
      <c r="AO896" s="144"/>
      <c r="AP896" s="144"/>
      <c r="AQ896" s="144"/>
      <c r="AR896" s="144"/>
      <c r="AS896" s="144"/>
    </row>
    <row r="897">
      <c r="AL897" s="144"/>
      <c r="AM897" s="144"/>
      <c r="AN897" s="144"/>
      <c r="AO897" s="144"/>
      <c r="AP897" s="144"/>
      <c r="AQ897" s="144"/>
      <c r="AR897" s="144"/>
      <c r="AS897" s="144"/>
    </row>
    <row r="898">
      <c r="AL898" s="144"/>
      <c r="AM898" s="144"/>
      <c r="AN898" s="144"/>
      <c r="AO898" s="144"/>
      <c r="AP898" s="144"/>
      <c r="AQ898" s="144"/>
      <c r="AR898" s="144"/>
      <c r="AS898" s="144"/>
    </row>
    <row r="899">
      <c r="AL899" s="144"/>
      <c r="AM899" s="144"/>
      <c r="AN899" s="144"/>
      <c r="AO899" s="144"/>
      <c r="AP899" s="144"/>
      <c r="AQ899" s="144"/>
      <c r="AR899" s="144"/>
      <c r="AS899" s="144"/>
    </row>
    <row r="900">
      <c r="AL900" s="144"/>
      <c r="AM900" s="144"/>
      <c r="AN900" s="144"/>
      <c r="AO900" s="144"/>
      <c r="AP900" s="144"/>
      <c r="AQ900" s="144"/>
      <c r="AR900" s="144"/>
      <c r="AS900" s="144"/>
    </row>
    <row r="901">
      <c r="AL901" s="144"/>
      <c r="AM901" s="144"/>
      <c r="AN901" s="144"/>
      <c r="AO901" s="144"/>
      <c r="AP901" s="144"/>
      <c r="AQ901" s="144"/>
      <c r="AR901" s="144"/>
      <c r="AS901" s="144"/>
    </row>
    <row r="902">
      <c r="AL902" s="144"/>
      <c r="AM902" s="144"/>
      <c r="AN902" s="144"/>
      <c r="AO902" s="144"/>
      <c r="AP902" s="144"/>
      <c r="AQ902" s="144"/>
      <c r="AR902" s="144"/>
      <c r="AS902" s="144"/>
    </row>
    <row r="903">
      <c r="AL903" s="144"/>
      <c r="AM903" s="144"/>
      <c r="AN903" s="144"/>
      <c r="AO903" s="144"/>
      <c r="AP903" s="144"/>
      <c r="AQ903" s="144"/>
      <c r="AR903" s="144"/>
      <c r="AS903" s="144"/>
    </row>
    <row r="904">
      <c r="AL904" s="144"/>
      <c r="AM904" s="144"/>
      <c r="AN904" s="144"/>
      <c r="AO904" s="144"/>
      <c r="AP904" s="144"/>
      <c r="AQ904" s="144"/>
      <c r="AR904" s="144"/>
      <c r="AS904" s="144"/>
    </row>
    <row r="905">
      <c r="AL905" s="144"/>
      <c r="AM905" s="144"/>
      <c r="AN905" s="144"/>
      <c r="AO905" s="144"/>
      <c r="AP905" s="144"/>
      <c r="AQ905" s="144"/>
      <c r="AR905" s="144"/>
      <c r="AS905" s="144"/>
    </row>
    <row r="906">
      <c r="AL906" s="144"/>
      <c r="AM906" s="144"/>
      <c r="AN906" s="144"/>
      <c r="AO906" s="144"/>
      <c r="AP906" s="144"/>
      <c r="AQ906" s="144"/>
      <c r="AR906" s="144"/>
      <c r="AS906" s="144"/>
    </row>
    <row r="907">
      <c r="AL907" s="144"/>
      <c r="AM907" s="144"/>
      <c r="AN907" s="144"/>
      <c r="AO907" s="144"/>
      <c r="AP907" s="144"/>
      <c r="AQ907" s="144"/>
      <c r="AR907" s="144"/>
      <c r="AS907" s="144"/>
    </row>
    <row r="908">
      <c r="AL908" s="144"/>
      <c r="AM908" s="144"/>
      <c r="AN908" s="144"/>
      <c r="AO908" s="144"/>
      <c r="AP908" s="144"/>
      <c r="AQ908" s="144"/>
      <c r="AR908" s="144"/>
      <c r="AS908" s="144"/>
    </row>
    <row r="909">
      <c r="AL909" s="144"/>
      <c r="AM909" s="144"/>
      <c r="AN909" s="144"/>
      <c r="AO909" s="144"/>
      <c r="AP909" s="144"/>
      <c r="AQ909" s="144"/>
      <c r="AR909" s="144"/>
      <c r="AS909" s="144"/>
    </row>
    <row r="910">
      <c r="AL910" s="144"/>
      <c r="AM910" s="144"/>
      <c r="AN910" s="144"/>
      <c r="AO910" s="144"/>
      <c r="AP910" s="144"/>
      <c r="AQ910" s="144"/>
      <c r="AR910" s="144"/>
      <c r="AS910" s="144"/>
    </row>
    <row r="911">
      <c r="AL911" s="144"/>
      <c r="AM911" s="144"/>
      <c r="AN911" s="144"/>
      <c r="AO911" s="144"/>
      <c r="AP911" s="144"/>
      <c r="AQ911" s="144"/>
      <c r="AR911" s="144"/>
      <c r="AS911" s="144"/>
    </row>
    <row r="912">
      <c r="AL912" s="144"/>
      <c r="AM912" s="144"/>
      <c r="AN912" s="144"/>
      <c r="AO912" s="144"/>
      <c r="AP912" s="144"/>
      <c r="AQ912" s="144"/>
      <c r="AR912" s="144"/>
      <c r="AS912" s="144"/>
    </row>
    <row r="913">
      <c r="AL913" s="144"/>
      <c r="AM913" s="144"/>
      <c r="AN913" s="144"/>
      <c r="AO913" s="144"/>
      <c r="AP913" s="144"/>
      <c r="AQ913" s="144"/>
      <c r="AR913" s="144"/>
      <c r="AS913" s="144"/>
    </row>
    <row r="914">
      <c r="AL914" s="144"/>
      <c r="AM914" s="144"/>
      <c r="AN914" s="144"/>
      <c r="AO914" s="144"/>
      <c r="AP914" s="144"/>
      <c r="AQ914" s="144"/>
      <c r="AR914" s="144"/>
      <c r="AS914" s="144"/>
    </row>
    <row r="915">
      <c r="AL915" s="144"/>
      <c r="AM915" s="144"/>
      <c r="AN915" s="144"/>
      <c r="AO915" s="144"/>
      <c r="AP915" s="144"/>
      <c r="AQ915" s="144"/>
      <c r="AR915" s="144"/>
      <c r="AS915" s="144"/>
    </row>
    <row r="916">
      <c r="AL916" s="144"/>
      <c r="AM916" s="144"/>
      <c r="AN916" s="144"/>
      <c r="AO916" s="144"/>
      <c r="AP916" s="144"/>
      <c r="AQ916" s="144"/>
      <c r="AR916" s="144"/>
      <c r="AS916" s="144"/>
    </row>
    <row r="917">
      <c r="AL917" s="144"/>
      <c r="AM917" s="144"/>
      <c r="AN917" s="144"/>
      <c r="AO917" s="144"/>
      <c r="AP917" s="144"/>
      <c r="AQ917" s="144"/>
      <c r="AR917" s="144"/>
      <c r="AS917" s="144"/>
    </row>
    <row r="918">
      <c r="AL918" s="144"/>
      <c r="AM918" s="144"/>
      <c r="AN918" s="144"/>
      <c r="AO918" s="144"/>
      <c r="AP918" s="144"/>
      <c r="AQ918" s="144"/>
      <c r="AR918" s="144"/>
      <c r="AS918" s="144"/>
    </row>
    <row r="919">
      <c r="AL919" s="144"/>
      <c r="AM919" s="144"/>
      <c r="AN919" s="144"/>
      <c r="AO919" s="144"/>
      <c r="AP919" s="144"/>
      <c r="AQ919" s="144"/>
      <c r="AR919" s="144"/>
      <c r="AS919" s="144"/>
    </row>
    <row r="920">
      <c r="AL920" s="144"/>
      <c r="AM920" s="144"/>
      <c r="AN920" s="144"/>
      <c r="AO920" s="144"/>
      <c r="AP920" s="144"/>
      <c r="AQ920" s="144"/>
      <c r="AR920" s="144"/>
      <c r="AS920" s="144"/>
    </row>
    <row r="921">
      <c r="AL921" s="144"/>
      <c r="AM921" s="144"/>
      <c r="AN921" s="144"/>
      <c r="AO921" s="144"/>
      <c r="AP921" s="144"/>
      <c r="AQ921" s="144"/>
      <c r="AR921" s="144"/>
      <c r="AS921" s="144"/>
    </row>
    <row r="922">
      <c r="AL922" s="144"/>
      <c r="AM922" s="144"/>
      <c r="AN922" s="144"/>
      <c r="AO922" s="144"/>
      <c r="AP922" s="144"/>
      <c r="AQ922" s="144"/>
      <c r="AR922" s="144"/>
      <c r="AS922" s="144"/>
    </row>
    <row r="923">
      <c r="AL923" s="144"/>
      <c r="AM923" s="144"/>
      <c r="AN923" s="144"/>
      <c r="AO923" s="144"/>
      <c r="AP923" s="144"/>
      <c r="AQ923" s="144"/>
      <c r="AR923" s="144"/>
      <c r="AS923" s="144"/>
    </row>
    <row r="924">
      <c r="AL924" s="144"/>
      <c r="AM924" s="144"/>
      <c r="AN924" s="144"/>
      <c r="AO924" s="144"/>
      <c r="AP924" s="144"/>
      <c r="AQ924" s="144"/>
      <c r="AR924" s="144"/>
      <c r="AS924" s="144"/>
    </row>
    <row r="925">
      <c r="AL925" s="144"/>
      <c r="AM925" s="144"/>
      <c r="AN925" s="144"/>
      <c r="AO925" s="144"/>
      <c r="AP925" s="144"/>
      <c r="AQ925" s="144"/>
      <c r="AR925" s="144"/>
      <c r="AS925" s="144"/>
    </row>
    <row r="926">
      <c r="AL926" s="144"/>
      <c r="AM926" s="144"/>
      <c r="AN926" s="144"/>
      <c r="AO926" s="144"/>
      <c r="AP926" s="144"/>
      <c r="AQ926" s="144"/>
      <c r="AR926" s="144"/>
      <c r="AS926" s="144"/>
    </row>
    <row r="927">
      <c r="AL927" s="144"/>
      <c r="AM927" s="144"/>
      <c r="AN927" s="144"/>
      <c r="AO927" s="144"/>
      <c r="AP927" s="144"/>
      <c r="AQ927" s="144"/>
      <c r="AR927" s="144"/>
      <c r="AS927" s="144"/>
    </row>
    <row r="928">
      <c r="AL928" s="144"/>
      <c r="AM928" s="144"/>
      <c r="AN928" s="144"/>
      <c r="AO928" s="144"/>
      <c r="AP928" s="144"/>
      <c r="AQ928" s="144"/>
      <c r="AR928" s="144"/>
      <c r="AS928" s="144"/>
    </row>
    <row r="929">
      <c r="AL929" s="144"/>
      <c r="AM929" s="144"/>
      <c r="AN929" s="144"/>
      <c r="AO929" s="144"/>
      <c r="AP929" s="144"/>
      <c r="AQ929" s="144"/>
      <c r="AR929" s="144"/>
      <c r="AS929" s="144"/>
    </row>
    <row r="930">
      <c r="AL930" s="144"/>
      <c r="AM930" s="144"/>
      <c r="AN930" s="144"/>
      <c r="AO930" s="144"/>
      <c r="AP930" s="144"/>
      <c r="AQ930" s="144"/>
      <c r="AR930" s="144"/>
      <c r="AS930" s="144"/>
    </row>
    <row r="931">
      <c r="AL931" s="144"/>
      <c r="AM931" s="144"/>
      <c r="AN931" s="144"/>
      <c r="AO931" s="144"/>
      <c r="AP931" s="144"/>
      <c r="AQ931" s="144"/>
      <c r="AR931" s="144"/>
      <c r="AS931" s="144"/>
    </row>
    <row r="932">
      <c r="AL932" s="144"/>
      <c r="AM932" s="144"/>
      <c r="AN932" s="144"/>
      <c r="AO932" s="144"/>
      <c r="AP932" s="144"/>
      <c r="AQ932" s="144"/>
      <c r="AR932" s="144"/>
      <c r="AS932" s="144"/>
    </row>
    <row r="933">
      <c r="AL933" s="144"/>
      <c r="AM933" s="144"/>
      <c r="AN933" s="144"/>
      <c r="AO933" s="144"/>
      <c r="AP933" s="144"/>
      <c r="AQ933" s="144"/>
      <c r="AR933" s="144"/>
      <c r="AS933" s="144"/>
    </row>
    <row r="934">
      <c r="AL934" s="144"/>
      <c r="AM934" s="144"/>
      <c r="AN934" s="144"/>
      <c r="AO934" s="144"/>
      <c r="AP934" s="144"/>
      <c r="AQ934" s="144"/>
      <c r="AR934" s="144"/>
      <c r="AS934" s="144"/>
    </row>
    <row r="935">
      <c r="AL935" s="144"/>
      <c r="AM935" s="144"/>
      <c r="AN935" s="144"/>
      <c r="AO935" s="144"/>
      <c r="AP935" s="144"/>
      <c r="AQ935" s="144"/>
      <c r="AR935" s="144"/>
      <c r="AS935" s="144"/>
    </row>
    <row r="936">
      <c r="AL936" s="144"/>
      <c r="AM936" s="144"/>
      <c r="AN936" s="144"/>
      <c r="AO936" s="144"/>
      <c r="AP936" s="144"/>
      <c r="AQ936" s="144"/>
      <c r="AR936" s="144"/>
      <c r="AS936" s="144"/>
    </row>
    <row r="937">
      <c r="AL937" s="144"/>
      <c r="AM937" s="144"/>
      <c r="AN937" s="144"/>
      <c r="AO937" s="144"/>
      <c r="AP937" s="144"/>
      <c r="AQ937" s="144"/>
      <c r="AR937" s="144"/>
      <c r="AS937" s="144"/>
    </row>
    <row r="938">
      <c r="AL938" s="144"/>
      <c r="AM938" s="144"/>
      <c r="AN938" s="144"/>
      <c r="AO938" s="144"/>
      <c r="AP938" s="144"/>
      <c r="AQ938" s="144"/>
      <c r="AR938" s="144"/>
      <c r="AS938" s="144"/>
    </row>
    <row r="939">
      <c r="AL939" s="144"/>
      <c r="AM939" s="144"/>
      <c r="AN939" s="144"/>
      <c r="AO939" s="144"/>
      <c r="AP939" s="144"/>
      <c r="AQ939" s="144"/>
      <c r="AR939" s="144"/>
      <c r="AS939" s="144"/>
    </row>
    <row r="940">
      <c r="AL940" s="144"/>
      <c r="AM940" s="144"/>
      <c r="AN940" s="144"/>
      <c r="AO940" s="144"/>
      <c r="AP940" s="144"/>
      <c r="AQ940" s="144"/>
      <c r="AR940" s="144"/>
      <c r="AS940" s="144"/>
    </row>
    <row r="941">
      <c r="AL941" s="144"/>
      <c r="AM941" s="144"/>
      <c r="AN941" s="144"/>
      <c r="AO941" s="144"/>
      <c r="AP941" s="144"/>
      <c r="AQ941" s="144"/>
      <c r="AR941" s="144"/>
      <c r="AS941" s="144"/>
    </row>
    <row r="942">
      <c r="AL942" s="144"/>
      <c r="AM942" s="144"/>
      <c r="AN942" s="144"/>
      <c r="AO942" s="144"/>
      <c r="AP942" s="144"/>
      <c r="AQ942" s="144"/>
      <c r="AR942" s="144"/>
      <c r="AS942" s="144"/>
    </row>
    <row r="943">
      <c r="AL943" s="144"/>
      <c r="AM943" s="144"/>
      <c r="AN943" s="144"/>
      <c r="AO943" s="144"/>
      <c r="AP943" s="144"/>
      <c r="AQ943" s="144"/>
      <c r="AR943" s="144"/>
      <c r="AS943" s="144"/>
    </row>
    <row r="944">
      <c r="AL944" s="144"/>
      <c r="AM944" s="144"/>
      <c r="AN944" s="144"/>
      <c r="AO944" s="144"/>
      <c r="AP944" s="144"/>
      <c r="AQ944" s="144"/>
      <c r="AR944" s="144"/>
      <c r="AS944" s="144"/>
    </row>
    <row r="945">
      <c r="AL945" s="144"/>
      <c r="AM945" s="144"/>
      <c r="AN945" s="144"/>
      <c r="AO945" s="144"/>
      <c r="AP945" s="144"/>
      <c r="AQ945" s="144"/>
      <c r="AR945" s="144"/>
      <c r="AS945" s="144"/>
    </row>
    <row r="946">
      <c r="AL946" s="144"/>
      <c r="AM946" s="144"/>
      <c r="AN946" s="144"/>
      <c r="AO946" s="144"/>
      <c r="AP946" s="144"/>
      <c r="AQ946" s="144"/>
      <c r="AR946" s="144"/>
      <c r="AS946" s="144"/>
    </row>
    <row r="947">
      <c r="AL947" s="144"/>
      <c r="AM947" s="144"/>
      <c r="AN947" s="144"/>
      <c r="AO947" s="144"/>
      <c r="AP947" s="144"/>
      <c r="AQ947" s="144"/>
      <c r="AR947" s="144"/>
      <c r="AS947" s="144"/>
    </row>
    <row r="948">
      <c r="AL948" s="144"/>
      <c r="AM948" s="144"/>
      <c r="AN948" s="144"/>
      <c r="AO948" s="144"/>
      <c r="AP948" s="144"/>
      <c r="AQ948" s="144"/>
      <c r="AR948" s="144"/>
      <c r="AS948" s="144"/>
    </row>
    <row r="949">
      <c r="AL949" s="144"/>
      <c r="AM949" s="144"/>
      <c r="AN949" s="144"/>
      <c r="AO949" s="144"/>
      <c r="AP949" s="144"/>
      <c r="AQ949" s="144"/>
      <c r="AR949" s="144"/>
      <c r="AS949" s="144"/>
    </row>
    <row r="950">
      <c r="AL950" s="144"/>
      <c r="AM950" s="144"/>
      <c r="AN950" s="144"/>
      <c r="AO950" s="144"/>
      <c r="AP950" s="144"/>
      <c r="AQ950" s="144"/>
      <c r="AR950" s="144"/>
      <c r="AS950" s="144"/>
    </row>
    <row r="951">
      <c r="AL951" s="144"/>
      <c r="AM951" s="144"/>
      <c r="AN951" s="144"/>
      <c r="AO951" s="144"/>
      <c r="AP951" s="144"/>
      <c r="AQ951" s="144"/>
      <c r="AR951" s="144"/>
      <c r="AS951" s="144"/>
    </row>
    <row r="952">
      <c r="AL952" s="144"/>
      <c r="AM952" s="144"/>
      <c r="AN952" s="144"/>
      <c r="AO952" s="144"/>
      <c r="AP952" s="144"/>
      <c r="AQ952" s="144"/>
      <c r="AR952" s="144"/>
      <c r="AS952" s="144"/>
    </row>
    <row r="953">
      <c r="AL953" s="144"/>
      <c r="AM953" s="144"/>
      <c r="AN953" s="144"/>
      <c r="AO953" s="144"/>
      <c r="AP953" s="144"/>
      <c r="AQ953" s="144"/>
      <c r="AR953" s="144"/>
      <c r="AS953" s="144"/>
    </row>
    <row r="954">
      <c r="AL954" s="144"/>
      <c r="AM954" s="144"/>
      <c r="AN954" s="144"/>
      <c r="AO954" s="144"/>
      <c r="AP954" s="144"/>
      <c r="AQ954" s="144"/>
      <c r="AR954" s="144"/>
      <c r="AS954" s="144"/>
    </row>
    <row r="955">
      <c r="AL955" s="144"/>
      <c r="AM955" s="144"/>
      <c r="AN955" s="144"/>
      <c r="AO955" s="144"/>
      <c r="AP955" s="144"/>
      <c r="AQ955" s="144"/>
      <c r="AR955" s="144"/>
      <c r="AS955" s="144"/>
    </row>
    <row r="956">
      <c r="AL956" s="144"/>
      <c r="AM956" s="144"/>
      <c r="AN956" s="144"/>
      <c r="AO956" s="144"/>
      <c r="AP956" s="144"/>
      <c r="AQ956" s="144"/>
      <c r="AR956" s="144"/>
      <c r="AS956" s="144"/>
    </row>
    <row r="957">
      <c r="AL957" s="144"/>
      <c r="AM957" s="144"/>
      <c r="AN957" s="144"/>
      <c r="AO957" s="144"/>
      <c r="AP957" s="144"/>
      <c r="AQ957" s="144"/>
      <c r="AR957" s="144"/>
      <c r="AS957" s="144"/>
    </row>
    <row r="958">
      <c r="AL958" s="144"/>
      <c r="AM958" s="144"/>
      <c r="AN958" s="144"/>
      <c r="AO958" s="144"/>
      <c r="AP958" s="144"/>
      <c r="AQ958" s="144"/>
      <c r="AR958" s="144"/>
      <c r="AS958" s="144"/>
    </row>
    <row r="959">
      <c r="AL959" s="144"/>
      <c r="AM959" s="144"/>
      <c r="AN959" s="144"/>
      <c r="AO959" s="144"/>
      <c r="AP959" s="144"/>
      <c r="AQ959" s="144"/>
      <c r="AR959" s="144"/>
      <c r="AS959" s="144"/>
    </row>
    <row r="960">
      <c r="AL960" s="144"/>
      <c r="AM960" s="144"/>
      <c r="AN960" s="144"/>
      <c r="AO960" s="144"/>
      <c r="AP960" s="144"/>
      <c r="AQ960" s="144"/>
      <c r="AR960" s="144"/>
      <c r="AS960" s="144"/>
    </row>
    <row r="961">
      <c r="AL961" s="144"/>
      <c r="AM961" s="144"/>
      <c r="AN961" s="144"/>
      <c r="AO961" s="144"/>
      <c r="AP961" s="144"/>
      <c r="AQ961" s="144"/>
      <c r="AR961" s="144"/>
      <c r="AS961" s="144"/>
    </row>
    <row r="962">
      <c r="AL962" s="144"/>
      <c r="AM962" s="144"/>
      <c r="AN962" s="144"/>
      <c r="AO962" s="144"/>
      <c r="AP962" s="144"/>
      <c r="AQ962" s="144"/>
      <c r="AR962" s="144"/>
      <c r="AS962" s="144"/>
    </row>
    <row r="963">
      <c r="AL963" s="144"/>
      <c r="AM963" s="144"/>
      <c r="AN963" s="144"/>
      <c r="AO963" s="144"/>
      <c r="AP963" s="144"/>
      <c r="AQ963" s="144"/>
      <c r="AR963" s="144"/>
      <c r="AS963" s="144"/>
    </row>
    <row r="964">
      <c r="AL964" s="144"/>
      <c r="AM964" s="144"/>
      <c r="AN964" s="144"/>
      <c r="AO964" s="144"/>
      <c r="AP964" s="144"/>
      <c r="AQ964" s="144"/>
      <c r="AR964" s="144"/>
      <c r="AS964" s="144"/>
    </row>
    <row r="965">
      <c r="AL965" s="144"/>
      <c r="AM965" s="144"/>
      <c r="AN965" s="144"/>
      <c r="AO965" s="144"/>
      <c r="AP965" s="144"/>
      <c r="AQ965" s="144"/>
      <c r="AR965" s="144"/>
      <c r="AS965" s="144"/>
    </row>
    <row r="966">
      <c r="AL966" s="144"/>
      <c r="AM966" s="144"/>
      <c r="AN966" s="144"/>
      <c r="AO966" s="144"/>
      <c r="AP966" s="144"/>
      <c r="AQ966" s="144"/>
      <c r="AR966" s="144"/>
      <c r="AS966" s="144"/>
    </row>
    <row r="967">
      <c r="AL967" s="144"/>
      <c r="AM967" s="144"/>
      <c r="AN967" s="144"/>
      <c r="AO967" s="144"/>
      <c r="AP967" s="144"/>
      <c r="AQ967" s="144"/>
      <c r="AR967" s="144"/>
      <c r="AS967" s="144"/>
    </row>
    <row r="968">
      <c r="AL968" s="144"/>
      <c r="AM968" s="144"/>
      <c r="AN968" s="144"/>
      <c r="AO968" s="144"/>
      <c r="AP968" s="144"/>
      <c r="AQ968" s="144"/>
      <c r="AR968" s="144"/>
      <c r="AS968" s="144"/>
    </row>
    <row r="969">
      <c r="AL969" s="144"/>
      <c r="AM969" s="144"/>
      <c r="AN969" s="144"/>
      <c r="AO969" s="144"/>
      <c r="AP969" s="144"/>
      <c r="AQ969" s="144"/>
      <c r="AR969" s="144"/>
      <c r="AS969" s="144"/>
    </row>
    <row r="970">
      <c r="AL970" s="144"/>
      <c r="AM970" s="144"/>
      <c r="AN970" s="144"/>
      <c r="AO970" s="144"/>
      <c r="AP970" s="144"/>
      <c r="AQ970" s="144"/>
      <c r="AR970" s="144"/>
      <c r="AS970" s="144"/>
    </row>
    <row r="971">
      <c r="AL971" s="144"/>
      <c r="AM971" s="144"/>
      <c r="AN971" s="144"/>
      <c r="AO971" s="144"/>
      <c r="AP971" s="144"/>
      <c r="AQ971" s="144"/>
      <c r="AR971" s="144"/>
      <c r="AS971" s="144"/>
    </row>
    <row r="972">
      <c r="AL972" s="144"/>
      <c r="AM972" s="144"/>
      <c r="AN972" s="144"/>
      <c r="AO972" s="144"/>
      <c r="AP972" s="144"/>
      <c r="AQ972" s="144"/>
      <c r="AR972" s="144"/>
      <c r="AS972" s="144"/>
    </row>
    <row r="973">
      <c r="AL973" s="144"/>
      <c r="AM973" s="144"/>
      <c r="AN973" s="144"/>
      <c r="AO973" s="144"/>
      <c r="AP973" s="144"/>
      <c r="AQ973" s="144"/>
      <c r="AR973" s="144"/>
      <c r="AS973" s="144"/>
    </row>
    <row r="974">
      <c r="AL974" s="144"/>
      <c r="AM974" s="144"/>
      <c r="AN974" s="144"/>
      <c r="AO974" s="144"/>
      <c r="AP974" s="144"/>
      <c r="AQ974" s="144"/>
      <c r="AR974" s="144"/>
      <c r="AS974" s="144"/>
    </row>
    <row r="975">
      <c r="AL975" s="144"/>
      <c r="AM975" s="144"/>
      <c r="AN975" s="144"/>
      <c r="AO975" s="144"/>
      <c r="AP975" s="144"/>
      <c r="AQ975" s="144"/>
      <c r="AR975" s="144"/>
      <c r="AS975" s="144"/>
    </row>
    <row r="976">
      <c r="AL976" s="144"/>
      <c r="AM976" s="144"/>
      <c r="AN976" s="144"/>
      <c r="AO976" s="144"/>
      <c r="AP976" s="144"/>
      <c r="AQ976" s="144"/>
      <c r="AR976" s="144"/>
      <c r="AS976" s="144"/>
    </row>
    <row r="977">
      <c r="AL977" s="144"/>
      <c r="AM977" s="144"/>
      <c r="AN977" s="144"/>
      <c r="AO977" s="144"/>
      <c r="AP977" s="144"/>
      <c r="AQ977" s="144"/>
      <c r="AR977" s="144"/>
      <c r="AS977" s="144"/>
    </row>
    <row r="978">
      <c r="AL978" s="144"/>
      <c r="AM978" s="144"/>
      <c r="AN978" s="144"/>
      <c r="AO978" s="144"/>
      <c r="AP978" s="144"/>
      <c r="AQ978" s="144"/>
      <c r="AR978" s="144"/>
      <c r="AS978" s="144"/>
    </row>
    <row r="979">
      <c r="AL979" s="144"/>
      <c r="AM979" s="144"/>
      <c r="AN979" s="144"/>
      <c r="AO979" s="144"/>
      <c r="AP979" s="144"/>
      <c r="AQ979" s="144"/>
      <c r="AR979" s="144"/>
      <c r="AS979" s="144"/>
    </row>
    <row r="980">
      <c r="AL980" s="144"/>
      <c r="AM980" s="144"/>
      <c r="AN980" s="144"/>
      <c r="AO980" s="144"/>
      <c r="AP980" s="144"/>
      <c r="AQ980" s="144"/>
      <c r="AR980" s="144"/>
      <c r="AS980" s="144"/>
    </row>
    <row r="981">
      <c r="AL981" s="144"/>
      <c r="AM981" s="144"/>
      <c r="AN981" s="144"/>
      <c r="AO981" s="144"/>
      <c r="AP981" s="144"/>
      <c r="AQ981" s="144"/>
      <c r="AR981" s="144"/>
      <c r="AS981" s="144"/>
    </row>
    <row r="982">
      <c r="AL982" s="144"/>
      <c r="AM982" s="144"/>
      <c r="AN982" s="144"/>
      <c r="AO982" s="144"/>
      <c r="AP982" s="144"/>
      <c r="AQ982" s="144"/>
      <c r="AR982" s="144"/>
      <c r="AS982" s="144"/>
    </row>
    <row r="983">
      <c r="AL983" s="144"/>
      <c r="AM983" s="144"/>
      <c r="AN983" s="144"/>
      <c r="AO983" s="144"/>
      <c r="AP983" s="144"/>
      <c r="AQ983" s="144"/>
      <c r="AR983" s="144"/>
      <c r="AS983" s="144"/>
    </row>
    <row r="984">
      <c r="AL984" s="144"/>
      <c r="AM984" s="144"/>
      <c r="AN984" s="144"/>
      <c r="AO984" s="144"/>
      <c r="AP984" s="144"/>
      <c r="AQ984" s="144"/>
      <c r="AR984" s="144"/>
      <c r="AS984" s="144"/>
    </row>
    <row r="985">
      <c r="AL985" s="144"/>
      <c r="AM985" s="144"/>
      <c r="AN985" s="144"/>
      <c r="AO985" s="144"/>
      <c r="AP985" s="144"/>
      <c r="AQ985" s="144"/>
      <c r="AR985" s="144"/>
      <c r="AS985" s="144"/>
    </row>
    <row r="986">
      <c r="AL986" s="144"/>
      <c r="AM986" s="144"/>
      <c r="AN986" s="144"/>
      <c r="AO986" s="144"/>
      <c r="AP986" s="144"/>
      <c r="AQ986" s="144"/>
      <c r="AR986" s="144"/>
      <c r="AS986" s="144"/>
    </row>
    <row r="987">
      <c r="AL987" s="144"/>
      <c r="AM987" s="144"/>
      <c r="AN987" s="144"/>
      <c r="AO987" s="144"/>
      <c r="AP987" s="144"/>
      <c r="AQ987" s="144"/>
      <c r="AR987" s="144"/>
      <c r="AS987" s="144"/>
    </row>
    <row r="988">
      <c r="AL988" s="144"/>
      <c r="AM988" s="144"/>
      <c r="AN988" s="144"/>
      <c r="AO988" s="144"/>
      <c r="AP988" s="144"/>
      <c r="AQ988" s="144"/>
      <c r="AR988" s="144"/>
      <c r="AS988" s="144"/>
    </row>
    <row r="989">
      <c r="AL989" s="144"/>
      <c r="AM989" s="144"/>
      <c r="AN989" s="144"/>
      <c r="AO989" s="144"/>
      <c r="AP989" s="144"/>
      <c r="AQ989" s="144"/>
      <c r="AR989" s="144"/>
      <c r="AS989" s="144"/>
    </row>
    <row r="990">
      <c r="AL990" s="144"/>
      <c r="AM990" s="144"/>
      <c r="AN990" s="144"/>
      <c r="AO990" s="144"/>
      <c r="AP990" s="144"/>
      <c r="AQ990" s="144"/>
      <c r="AR990" s="144"/>
      <c r="AS990" s="144"/>
    </row>
    <row r="991">
      <c r="AL991" s="144"/>
      <c r="AM991" s="144"/>
      <c r="AN991" s="144"/>
      <c r="AO991" s="144"/>
      <c r="AP991" s="144"/>
      <c r="AQ991" s="144"/>
      <c r="AR991" s="144"/>
      <c r="AS991" s="144"/>
    </row>
    <row r="992">
      <c r="AL992" s="144"/>
      <c r="AM992" s="144"/>
      <c r="AN992" s="144"/>
      <c r="AO992" s="144"/>
      <c r="AP992" s="144"/>
      <c r="AQ992" s="144"/>
      <c r="AR992" s="144"/>
      <c r="AS992" s="144"/>
    </row>
    <row r="993">
      <c r="AL993" s="144"/>
      <c r="AM993" s="144"/>
      <c r="AN993" s="144"/>
      <c r="AO993" s="144"/>
      <c r="AP993" s="144"/>
      <c r="AQ993" s="144"/>
      <c r="AR993" s="144"/>
      <c r="AS993" s="144"/>
    </row>
    <row r="994">
      <c r="AL994" s="144"/>
      <c r="AM994" s="144"/>
      <c r="AN994" s="144"/>
      <c r="AO994" s="144"/>
      <c r="AP994" s="144"/>
      <c r="AQ994" s="144"/>
      <c r="AR994" s="144"/>
      <c r="AS994" s="144"/>
    </row>
    <row r="995">
      <c r="AL995" s="144"/>
      <c r="AM995" s="144"/>
      <c r="AN995" s="144"/>
      <c r="AO995" s="144"/>
      <c r="AP995" s="144"/>
      <c r="AQ995" s="144"/>
      <c r="AR995" s="144"/>
      <c r="AS995" s="144"/>
    </row>
    <row r="996">
      <c r="AL996" s="144"/>
      <c r="AM996" s="144"/>
      <c r="AN996" s="144"/>
      <c r="AO996" s="144"/>
      <c r="AP996" s="144"/>
      <c r="AQ996" s="144"/>
      <c r="AR996" s="144"/>
      <c r="AS996" s="144"/>
    </row>
    <row r="997">
      <c r="AL997" s="144"/>
      <c r="AM997" s="144"/>
      <c r="AN997" s="144"/>
      <c r="AO997" s="144"/>
      <c r="AP997" s="144"/>
      <c r="AQ997" s="144"/>
      <c r="AR997" s="144"/>
      <c r="AS997" s="144"/>
    </row>
    <row r="998">
      <c r="AL998" s="144"/>
      <c r="AM998" s="144"/>
      <c r="AN998" s="144"/>
      <c r="AO998" s="144"/>
      <c r="AP998" s="144"/>
      <c r="AQ998" s="144"/>
      <c r="AR998" s="144"/>
      <c r="AS998" s="144"/>
    </row>
    <row r="999">
      <c r="AL999" s="144"/>
      <c r="AM999" s="144"/>
      <c r="AN999" s="144"/>
      <c r="AO999" s="144"/>
      <c r="AP999" s="144"/>
      <c r="AQ999" s="144"/>
      <c r="AR999" s="144"/>
      <c r="AS999" s="144"/>
    </row>
    <row r="1000">
      <c r="AL1000" s="144"/>
      <c r="AM1000" s="144"/>
      <c r="AN1000" s="144"/>
      <c r="AO1000" s="144"/>
      <c r="AP1000" s="144"/>
      <c r="AQ1000" s="144"/>
      <c r="AR1000" s="144"/>
      <c r="AS1000" s="144"/>
    </row>
    <row r="1001">
      <c r="AL1001" s="144"/>
      <c r="AM1001" s="144"/>
      <c r="AN1001" s="144"/>
      <c r="AO1001" s="144"/>
      <c r="AP1001" s="144"/>
      <c r="AQ1001" s="144"/>
      <c r="AR1001" s="144"/>
      <c r="AS1001" s="144"/>
    </row>
    <row r="1002">
      <c r="AL1002" s="144"/>
      <c r="AM1002" s="144"/>
      <c r="AN1002" s="144"/>
      <c r="AO1002" s="144"/>
      <c r="AP1002" s="144"/>
      <c r="AQ1002" s="144"/>
      <c r="AR1002" s="144"/>
      <c r="AS1002" s="144"/>
    </row>
    <row r="1003">
      <c r="AL1003" s="144"/>
      <c r="AM1003" s="144"/>
      <c r="AN1003" s="144"/>
      <c r="AO1003" s="144"/>
      <c r="AP1003" s="144"/>
      <c r="AQ1003" s="144"/>
      <c r="AR1003" s="144"/>
      <c r="AS1003" s="144"/>
    </row>
    <row r="1004">
      <c r="AL1004" s="144"/>
      <c r="AM1004" s="144"/>
      <c r="AN1004" s="144"/>
      <c r="AO1004" s="144"/>
      <c r="AP1004" s="144"/>
      <c r="AQ1004" s="144"/>
      <c r="AR1004" s="144"/>
      <c r="AS1004" s="144"/>
    </row>
    <row r="1005">
      <c r="AL1005" s="144"/>
      <c r="AM1005" s="144"/>
      <c r="AN1005" s="144"/>
      <c r="AO1005" s="144"/>
      <c r="AP1005" s="144"/>
      <c r="AQ1005" s="144"/>
      <c r="AR1005" s="144"/>
      <c r="AS1005" s="144"/>
    </row>
    <row r="1006">
      <c r="AL1006" s="144"/>
      <c r="AM1006" s="144"/>
      <c r="AN1006" s="144"/>
      <c r="AO1006" s="144"/>
      <c r="AP1006" s="144"/>
      <c r="AQ1006" s="144"/>
      <c r="AR1006" s="144"/>
      <c r="AS1006" s="144"/>
    </row>
    <row r="1007">
      <c r="AL1007" s="144"/>
      <c r="AM1007" s="144"/>
      <c r="AN1007" s="144"/>
      <c r="AO1007" s="144"/>
      <c r="AP1007" s="144"/>
      <c r="AQ1007" s="144"/>
      <c r="AR1007" s="144"/>
      <c r="AS1007" s="144"/>
    </row>
    <row r="1008">
      <c r="AL1008" s="144"/>
      <c r="AM1008" s="144"/>
      <c r="AN1008" s="144"/>
      <c r="AO1008" s="144"/>
      <c r="AP1008" s="144"/>
      <c r="AQ1008" s="144"/>
      <c r="AR1008" s="144"/>
      <c r="AS1008" s="144"/>
    </row>
    <row r="1009">
      <c r="AL1009" s="144"/>
      <c r="AM1009" s="144"/>
      <c r="AN1009" s="144"/>
      <c r="AO1009" s="144"/>
      <c r="AP1009" s="144"/>
      <c r="AQ1009" s="144"/>
      <c r="AR1009" s="144"/>
      <c r="AS1009" s="144"/>
    </row>
    <row r="1010">
      <c r="AL1010" s="144"/>
      <c r="AM1010" s="144"/>
      <c r="AN1010" s="144"/>
      <c r="AO1010" s="144"/>
      <c r="AP1010" s="144"/>
      <c r="AQ1010" s="144"/>
      <c r="AR1010" s="144"/>
      <c r="AS1010" s="144"/>
    </row>
    <row r="1011">
      <c r="AL1011" s="144"/>
      <c r="AM1011" s="144"/>
      <c r="AN1011" s="144"/>
      <c r="AO1011" s="144"/>
      <c r="AP1011" s="144"/>
      <c r="AQ1011" s="144"/>
      <c r="AR1011" s="144"/>
      <c r="AS1011" s="144"/>
    </row>
    <row r="1012">
      <c r="AL1012" s="144"/>
      <c r="AM1012" s="144"/>
      <c r="AN1012" s="144"/>
      <c r="AO1012" s="144"/>
      <c r="AP1012" s="144"/>
      <c r="AQ1012" s="144"/>
      <c r="AR1012" s="144"/>
      <c r="AS1012" s="144"/>
    </row>
    <row r="1013">
      <c r="AL1013" s="144"/>
      <c r="AM1013" s="144"/>
      <c r="AN1013" s="144"/>
      <c r="AO1013" s="144"/>
      <c r="AP1013" s="144"/>
      <c r="AQ1013" s="144"/>
      <c r="AR1013" s="144"/>
      <c r="AS1013" s="144"/>
    </row>
    <row r="1014">
      <c r="AL1014" s="144"/>
      <c r="AM1014" s="144"/>
      <c r="AN1014" s="144"/>
      <c r="AO1014" s="144"/>
      <c r="AP1014" s="144"/>
      <c r="AQ1014" s="144"/>
      <c r="AR1014" s="144"/>
      <c r="AS1014" s="144"/>
    </row>
    <row r="1015">
      <c r="AL1015" s="144"/>
      <c r="AM1015" s="144"/>
      <c r="AN1015" s="144"/>
      <c r="AO1015" s="144"/>
      <c r="AP1015" s="144"/>
      <c r="AQ1015" s="144"/>
      <c r="AR1015" s="144"/>
      <c r="AS1015" s="144"/>
    </row>
    <row r="1016">
      <c r="AL1016" s="144"/>
      <c r="AM1016" s="144"/>
      <c r="AN1016" s="144"/>
      <c r="AO1016" s="144"/>
      <c r="AP1016" s="144"/>
      <c r="AQ1016" s="144"/>
      <c r="AR1016" s="144"/>
      <c r="AS1016" s="144"/>
    </row>
    <row r="1017">
      <c r="AL1017" s="144"/>
      <c r="AM1017" s="144"/>
      <c r="AN1017" s="144"/>
      <c r="AO1017" s="144"/>
      <c r="AP1017" s="144"/>
      <c r="AQ1017" s="144"/>
      <c r="AR1017" s="144"/>
      <c r="AS1017" s="144"/>
    </row>
    <row r="1018">
      <c r="AL1018" s="144"/>
      <c r="AM1018" s="144"/>
      <c r="AN1018" s="144"/>
      <c r="AO1018" s="144"/>
      <c r="AP1018" s="144"/>
      <c r="AQ1018" s="144"/>
      <c r="AR1018" s="144"/>
      <c r="AS1018" s="144"/>
    </row>
    <row r="1019">
      <c r="AL1019" s="144"/>
      <c r="AM1019" s="144"/>
      <c r="AN1019" s="144"/>
      <c r="AO1019" s="144"/>
      <c r="AP1019" s="144"/>
      <c r="AQ1019" s="144"/>
      <c r="AR1019" s="144"/>
      <c r="AS1019" s="144"/>
    </row>
    <row r="1020">
      <c r="AL1020" s="144"/>
      <c r="AM1020" s="144"/>
      <c r="AN1020" s="144"/>
      <c r="AO1020" s="144"/>
      <c r="AP1020" s="144"/>
      <c r="AQ1020" s="144"/>
      <c r="AR1020" s="144"/>
      <c r="AS1020" s="144"/>
    </row>
    <row r="1021">
      <c r="AL1021" s="144"/>
      <c r="AM1021" s="144"/>
      <c r="AN1021" s="144"/>
      <c r="AO1021" s="144"/>
      <c r="AP1021" s="144"/>
      <c r="AQ1021" s="144"/>
      <c r="AR1021" s="144"/>
      <c r="AS1021" s="144"/>
    </row>
    <row r="1022">
      <c r="AL1022" s="144"/>
      <c r="AM1022" s="144"/>
      <c r="AN1022" s="144"/>
      <c r="AO1022" s="144"/>
      <c r="AP1022" s="144"/>
      <c r="AQ1022" s="144"/>
      <c r="AR1022" s="144"/>
      <c r="AS1022" s="144"/>
    </row>
    <row r="1023">
      <c r="AL1023" s="144"/>
      <c r="AM1023" s="144"/>
      <c r="AN1023" s="144"/>
      <c r="AO1023" s="144"/>
      <c r="AP1023" s="144"/>
      <c r="AQ1023" s="144"/>
      <c r="AR1023" s="144"/>
      <c r="AS1023" s="144"/>
    </row>
    <row r="1024">
      <c r="AL1024" s="144"/>
      <c r="AM1024" s="144"/>
      <c r="AN1024" s="144"/>
      <c r="AO1024" s="144"/>
      <c r="AP1024" s="144"/>
      <c r="AQ1024" s="144"/>
      <c r="AR1024" s="144"/>
      <c r="AS1024" s="144"/>
    </row>
    <row r="1025">
      <c r="AL1025" s="144"/>
      <c r="AM1025" s="144"/>
      <c r="AN1025" s="144"/>
      <c r="AO1025" s="144"/>
      <c r="AP1025" s="144"/>
      <c r="AQ1025" s="144"/>
      <c r="AR1025" s="144"/>
      <c r="AS1025" s="144"/>
    </row>
    <row r="1026">
      <c r="AL1026" s="144"/>
      <c r="AM1026" s="144"/>
      <c r="AN1026" s="144"/>
      <c r="AO1026" s="144"/>
      <c r="AP1026" s="144"/>
      <c r="AQ1026" s="144"/>
      <c r="AR1026" s="144"/>
      <c r="AS1026" s="144"/>
    </row>
    <row r="1027">
      <c r="AL1027" s="144"/>
      <c r="AM1027" s="144"/>
      <c r="AN1027" s="144"/>
      <c r="AO1027" s="144"/>
      <c r="AP1027" s="144"/>
      <c r="AQ1027" s="144"/>
      <c r="AR1027" s="144"/>
      <c r="AS1027" s="144"/>
    </row>
    <row r="1028">
      <c r="AL1028" s="144"/>
      <c r="AM1028" s="144"/>
      <c r="AN1028" s="144"/>
      <c r="AO1028" s="144"/>
      <c r="AP1028" s="144"/>
      <c r="AQ1028" s="144"/>
      <c r="AR1028" s="144"/>
      <c r="AS1028" s="144"/>
    </row>
    <row r="1029">
      <c r="AL1029" s="144"/>
      <c r="AM1029" s="144"/>
      <c r="AN1029" s="144"/>
      <c r="AO1029" s="144"/>
      <c r="AP1029" s="144"/>
      <c r="AQ1029" s="144"/>
      <c r="AR1029" s="144"/>
      <c r="AS1029" s="144"/>
    </row>
    <row r="1030">
      <c r="AL1030" s="144"/>
      <c r="AM1030" s="144"/>
      <c r="AN1030" s="144"/>
      <c r="AO1030" s="144"/>
      <c r="AP1030" s="144"/>
      <c r="AQ1030" s="144"/>
      <c r="AR1030" s="144"/>
      <c r="AS1030" s="144"/>
    </row>
    <row r="1031">
      <c r="AL1031" s="144"/>
      <c r="AM1031" s="144"/>
      <c r="AN1031" s="144"/>
      <c r="AO1031" s="144"/>
      <c r="AP1031" s="144"/>
      <c r="AQ1031" s="144"/>
      <c r="AR1031" s="144"/>
      <c r="AS1031" s="144"/>
    </row>
    <row r="1032">
      <c r="AL1032" s="144"/>
      <c r="AM1032" s="144"/>
      <c r="AN1032" s="144"/>
      <c r="AO1032" s="144"/>
      <c r="AP1032" s="144"/>
      <c r="AQ1032" s="144"/>
      <c r="AR1032" s="144"/>
      <c r="AS1032" s="144"/>
    </row>
    <row r="1033">
      <c r="AL1033" s="144"/>
      <c r="AM1033" s="144"/>
      <c r="AN1033" s="144"/>
      <c r="AO1033" s="144"/>
      <c r="AP1033" s="144"/>
      <c r="AQ1033" s="144"/>
      <c r="AR1033" s="144"/>
      <c r="AS1033" s="144"/>
    </row>
    <row r="1034">
      <c r="AL1034" s="144"/>
      <c r="AM1034" s="144"/>
      <c r="AN1034" s="144"/>
      <c r="AO1034" s="144"/>
      <c r="AP1034" s="144"/>
      <c r="AQ1034" s="144"/>
      <c r="AR1034" s="144"/>
      <c r="AS1034" s="144"/>
    </row>
    <row r="1035">
      <c r="AL1035" s="144"/>
      <c r="AM1035" s="144"/>
      <c r="AN1035" s="144"/>
      <c r="AO1035" s="144"/>
      <c r="AP1035" s="144"/>
      <c r="AQ1035" s="144"/>
      <c r="AR1035" s="144"/>
      <c r="AS1035" s="144"/>
    </row>
    <row r="1036">
      <c r="AL1036" s="144"/>
      <c r="AM1036" s="144"/>
      <c r="AN1036" s="144"/>
      <c r="AO1036" s="144"/>
      <c r="AP1036" s="144"/>
      <c r="AQ1036" s="144"/>
      <c r="AR1036" s="144"/>
      <c r="AS1036" s="144"/>
    </row>
    <row r="1037">
      <c r="AL1037" s="144"/>
      <c r="AM1037" s="144"/>
      <c r="AN1037" s="144"/>
      <c r="AO1037" s="144"/>
      <c r="AP1037" s="144"/>
      <c r="AQ1037" s="144"/>
      <c r="AR1037" s="144"/>
      <c r="AS1037" s="144"/>
    </row>
    <row r="1038">
      <c r="AL1038" s="144"/>
      <c r="AM1038" s="144"/>
      <c r="AN1038" s="144"/>
      <c r="AO1038" s="144"/>
      <c r="AP1038" s="144"/>
      <c r="AQ1038" s="144"/>
      <c r="AR1038" s="144"/>
      <c r="AS1038" s="144"/>
    </row>
    <row r="1039">
      <c r="AL1039" s="144"/>
      <c r="AM1039" s="144"/>
      <c r="AN1039" s="144"/>
      <c r="AO1039" s="144"/>
      <c r="AP1039" s="144"/>
      <c r="AQ1039" s="144"/>
      <c r="AR1039" s="144"/>
      <c r="AS1039" s="144"/>
    </row>
    <row r="1040">
      <c r="AL1040" s="144"/>
      <c r="AM1040" s="144"/>
      <c r="AN1040" s="144"/>
      <c r="AO1040" s="144"/>
      <c r="AP1040" s="144"/>
      <c r="AQ1040" s="144"/>
      <c r="AR1040" s="144"/>
      <c r="AS1040" s="144"/>
    </row>
    <row r="1041">
      <c r="AL1041" s="144"/>
      <c r="AM1041" s="144"/>
      <c r="AN1041" s="144"/>
      <c r="AO1041" s="144"/>
      <c r="AP1041" s="144"/>
      <c r="AQ1041" s="144"/>
      <c r="AR1041" s="144"/>
      <c r="AS1041" s="144"/>
    </row>
    <row r="1042">
      <c r="AL1042" s="144"/>
      <c r="AM1042" s="144"/>
      <c r="AN1042" s="144"/>
      <c r="AO1042" s="144"/>
      <c r="AP1042" s="144"/>
      <c r="AQ1042" s="144"/>
      <c r="AR1042" s="144"/>
      <c r="AS1042" s="144"/>
    </row>
    <row r="1043">
      <c r="AL1043" s="144"/>
      <c r="AM1043" s="144"/>
      <c r="AN1043" s="144"/>
      <c r="AO1043" s="144"/>
      <c r="AP1043" s="144"/>
      <c r="AQ1043" s="144"/>
      <c r="AR1043" s="144"/>
      <c r="AS1043" s="144"/>
    </row>
    <row r="1044">
      <c r="AL1044" s="144"/>
      <c r="AM1044" s="144"/>
      <c r="AN1044" s="144"/>
      <c r="AO1044" s="144"/>
      <c r="AP1044" s="144"/>
      <c r="AQ1044" s="144"/>
      <c r="AR1044" s="144"/>
      <c r="AS1044" s="144"/>
    </row>
    <row r="1045">
      <c r="AL1045" s="144"/>
      <c r="AM1045" s="144"/>
      <c r="AN1045" s="144"/>
      <c r="AO1045" s="144"/>
      <c r="AP1045" s="144"/>
      <c r="AQ1045" s="144"/>
      <c r="AR1045" s="144"/>
      <c r="AS1045" s="144"/>
    </row>
    <row r="1046">
      <c r="AL1046" s="144"/>
      <c r="AM1046" s="144"/>
      <c r="AN1046" s="144"/>
      <c r="AO1046" s="144"/>
      <c r="AP1046" s="144"/>
      <c r="AQ1046" s="144"/>
      <c r="AR1046" s="144"/>
      <c r="AS1046" s="144"/>
    </row>
    <row r="1047">
      <c r="AL1047" s="144"/>
      <c r="AM1047" s="144"/>
      <c r="AN1047" s="144"/>
      <c r="AO1047" s="144"/>
      <c r="AP1047" s="144"/>
      <c r="AQ1047" s="144"/>
      <c r="AR1047" s="144"/>
      <c r="AS1047" s="144"/>
    </row>
    <row r="1048">
      <c r="AL1048" s="144"/>
      <c r="AM1048" s="144"/>
      <c r="AN1048" s="144"/>
      <c r="AO1048" s="144"/>
      <c r="AP1048" s="144"/>
      <c r="AQ1048" s="144"/>
      <c r="AR1048" s="144"/>
      <c r="AS1048" s="144"/>
    </row>
    <row r="1049">
      <c r="AL1049" s="144"/>
      <c r="AM1049" s="144"/>
      <c r="AN1049" s="144"/>
      <c r="AO1049" s="144"/>
      <c r="AP1049" s="144"/>
      <c r="AQ1049" s="144"/>
      <c r="AR1049" s="144"/>
      <c r="AS1049" s="144"/>
    </row>
    <row r="1050">
      <c r="AL1050" s="144"/>
      <c r="AM1050" s="144"/>
      <c r="AN1050" s="144"/>
      <c r="AO1050" s="144"/>
      <c r="AP1050" s="144"/>
      <c r="AQ1050" s="144"/>
      <c r="AR1050" s="144"/>
      <c r="AS1050" s="144"/>
    </row>
    <row r="1051">
      <c r="AL1051" s="144"/>
      <c r="AM1051" s="144"/>
      <c r="AN1051" s="144"/>
      <c r="AO1051" s="144"/>
      <c r="AP1051" s="144"/>
      <c r="AQ1051" s="144"/>
      <c r="AR1051" s="144"/>
      <c r="AS1051" s="144"/>
    </row>
    <row r="1052">
      <c r="AL1052" s="144"/>
      <c r="AM1052" s="144"/>
      <c r="AN1052" s="144"/>
      <c r="AO1052" s="144"/>
      <c r="AP1052" s="144"/>
      <c r="AQ1052" s="144"/>
      <c r="AR1052" s="144"/>
      <c r="AS1052" s="144"/>
    </row>
    <row r="1053">
      <c r="AL1053" s="144"/>
      <c r="AM1053" s="144"/>
      <c r="AN1053" s="144"/>
      <c r="AO1053" s="144"/>
      <c r="AP1053" s="144"/>
      <c r="AQ1053" s="144"/>
      <c r="AR1053" s="144"/>
      <c r="AS1053" s="144"/>
    </row>
    <row r="1054">
      <c r="AL1054" s="144"/>
      <c r="AM1054" s="144"/>
      <c r="AN1054" s="144"/>
      <c r="AO1054" s="144"/>
      <c r="AP1054" s="144"/>
      <c r="AQ1054" s="144"/>
      <c r="AR1054" s="144"/>
      <c r="AS1054" s="144"/>
    </row>
    <row r="1055">
      <c r="AL1055" s="144"/>
      <c r="AM1055" s="144"/>
      <c r="AN1055" s="144"/>
      <c r="AO1055" s="144"/>
      <c r="AP1055" s="144"/>
      <c r="AQ1055" s="144"/>
      <c r="AR1055" s="144"/>
      <c r="AS1055" s="144"/>
    </row>
    <row r="1056">
      <c r="AL1056" s="144"/>
      <c r="AM1056" s="144"/>
      <c r="AN1056" s="144"/>
      <c r="AO1056" s="144"/>
      <c r="AP1056" s="144"/>
      <c r="AQ1056" s="144"/>
      <c r="AR1056" s="144"/>
      <c r="AS1056" s="144"/>
    </row>
    <row r="1057">
      <c r="AL1057" s="144"/>
      <c r="AM1057" s="144"/>
      <c r="AN1057" s="144"/>
      <c r="AO1057" s="144"/>
      <c r="AP1057" s="144"/>
      <c r="AQ1057" s="144"/>
      <c r="AR1057" s="144"/>
      <c r="AS1057" s="144"/>
    </row>
    <row r="1058">
      <c r="AL1058" s="144"/>
      <c r="AM1058" s="144"/>
      <c r="AN1058" s="144"/>
      <c r="AO1058" s="144"/>
      <c r="AP1058" s="144"/>
      <c r="AQ1058" s="144"/>
      <c r="AR1058" s="144"/>
      <c r="AS1058" s="144"/>
    </row>
    <row r="1059">
      <c r="AL1059" s="144"/>
      <c r="AM1059" s="144"/>
      <c r="AN1059" s="144"/>
      <c r="AO1059" s="144"/>
      <c r="AP1059" s="144"/>
      <c r="AQ1059" s="144"/>
      <c r="AR1059" s="144"/>
      <c r="AS1059" s="144"/>
    </row>
    <row r="1060">
      <c r="AL1060" s="144"/>
      <c r="AM1060" s="144"/>
      <c r="AN1060" s="144"/>
      <c r="AO1060" s="144"/>
      <c r="AP1060" s="144"/>
      <c r="AQ1060" s="144"/>
      <c r="AR1060" s="144"/>
      <c r="AS1060" s="144"/>
    </row>
    <row r="1061">
      <c r="AL1061" s="144"/>
      <c r="AM1061" s="144"/>
      <c r="AN1061" s="144"/>
      <c r="AO1061" s="144"/>
      <c r="AP1061" s="144"/>
      <c r="AQ1061" s="144"/>
      <c r="AR1061" s="144"/>
      <c r="AS1061" s="144"/>
    </row>
    <row r="1062">
      <c r="AL1062" s="144"/>
      <c r="AM1062" s="144"/>
      <c r="AN1062" s="144"/>
      <c r="AO1062" s="144"/>
      <c r="AP1062" s="144"/>
      <c r="AQ1062" s="144"/>
      <c r="AR1062" s="144"/>
      <c r="AS1062" s="144"/>
    </row>
    <row r="1063">
      <c r="AL1063" s="144"/>
      <c r="AM1063" s="144"/>
      <c r="AN1063" s="144"/>
      <c r="AO1063" s="144"/>
      <c r="AP1063" s="144"/>
      <c r="AQ1063" s="144"/>
      <c r="AR1063" s="144"/>
      <c r="AS1063" s="144"/>
    </row>
    <row r="1064">
      <c r="AL1064" s="144"/>
      <c r="AM1064" s="144"/>
      <c r="AN1064" s="144"/>
      <c r="AO1064" s="144"/>
      <c r="AP1064" s="144"/>
      <c r="AQ1064" s="144"/>
      <c r="AR1064" s="144"/>
      <c r="AS1064" s="144"/>
    </row>
    <row r="1065">
      <c r="AL1065" s="144"/>
      <c r="AM1065" s="144"/>
      <c r="AN1065" s="144"/>
      <c r="AO1065" s="144"/>
      <c r="AP1065" s="144"/>
      <c r="AQ1065" s="144"/>
      <c r="AR1065" s="144"/>
      <c r="AS1065" s="144"/>
    </row>
    <row r="1066">
      <c r="AL1066" s="144"/>
      <c r="AM1066" s="144"/>
      <c r="AN1066" s="144"/>
      <c r="AO1066" s="144"/>
      <c r="AP1066" s="144"/>
      <c r="AQ1066" s="144"/>
      <c r="AR1066" s="144"/>
      <c r="AS1066" s="144"/>
    </row>
    <row r="1067">
      <c r="AL1067" s="144"/>
      <c r="AM1067" s="144"/>
      <c r="AN1067" s="144"/>
      <c r="AO1067" s="144"/>
      <c r="AP1067" s="144"/>
      <c r="AQ1067" s="144"/>
      <c r="AR1067" s="144"/>
      <c r="AS1067" s="144"/>
    </row>
    <row r="1068">
      <c r="AL1068" s="144"/>
      <c r="AM1068" s="144"/>
      <c r="AN1068" s="144"/>
      <c r="AO1068" s="144"/>
      <c r="AP1068" s="144"/>
      <c r="AQ1068" s="144"/>
      <c r="AR1068" s="144"/>
      <c r="AS1068" s="144"/>
    </row>
    <row r="1069">
      <c r="AL1069" s="144"/>
      <c r="AM1069" s="144"/>
      <c r="AN1069" s="144"/>
      <c r="AO1069" s="144"/>
      <c r="AP1069" s="144"/>
      <c r="AQ1069" s="144"/>
      <c r="AR1069" s="144"/>
      <c r="AS1069" s="144"/>
    </row>
    <row r="1070">
      <c r="AL1070" s="144"/>
      <c r="AM1070" s="144"/>
      <c r="AN1070" s="144"/>
      <c r="AO1070" s="144"/>
      <c r="AP1070" s="144"/>
      <c r="AQ1070" s="144"/>
      <c r="AR1070" s="144"/>
      <c r="AS1070" s="144"/>
    </row>
    <row r="1071">
      <c r="AL1071" s="144"/>
      <c r="AM1071" s="144"/>
      <c r="AN1071" s="144"/>
      <c r="AO1071" s="144"/>
      <c r="AP1071" s="144"/>
      <c r="AQ1071" s="144"/>
      <c r="AR1071" s="144"/>
      <c r="AS1071" s="144"/>
    </row>
    <row r="1072">
      <c r="AL1072" s="144"/>
      <c r="AM1072" s="144"/>
      <c r="AN1072" s="144"/>
      <c r="AO1072" s="144"/>
      <c r="AP1072" s="144"/>
      <c r="AQ1072" s="144"/>
      <c r="AR1072" s="144"/>
      <c r="AS1072" s="144"/>
    </row>
    <row r="1073">
      <c r="AL1073" s="144"/>
      <c r="AM1073" s="144"/>
      <c r="AN1073" s="144"/>
      <c r="AO1073" s="144"/>
      <c r="AP1073" s="144"/>
      <c r="AQ1073" s="144"/>
      <c r="AR1073" s="144"/>
      <c r="AS1073" s="144"/>
    </row>
    <row r="1074">
      <c r="AL1074" s="144"/>
      <c r="AM1074" s="144"/>
      <c r="AN1074" s="144"/>
      <c r="AO1074" s="144"/>
      <c r="AP1074" s="144"/>
      <c r="AQ1074" s="144"/>
      <c r="AR1074" s="144"/>
      <c r="AS1074" s="144"/>
    </row>
  </sheetData>
  <dataValidations>
    <dataValidation type="custom" allowBlank="1" showDropDown="1" sqref="B5:L109 U130:U173">
      <formula1>AND(ISNUMBER(B5),(NOT(OR(NOT(ISERROR(DATEVALUE(B5))), AND(ISNUMBER(B5), LEFT(CELL("format", B5))="D")))))</formula1>
    </dataValidation>
  </dataValidations>
  <drawing r:id="rId4"/>
  <legacyDrawing r:id="rId5"/>
  <tableParts count="2"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7" max="7" width="16.13"/>
    <col customWidth="1" min="8" max="8" width="9.38"/>
  </cols>
  <sheetData>
    <row r="1">
      <c r="A1" s="17" t="s">
        <v>618</v>
      </c>
      <c r="B1" s="17" t="s">
        <v>619</v>
      </c>
      <c r="C1" s="17" t="s">
        <v>620</v>
      </c>
      <c r="D1" s="17" t="s">
        <v>28</v>
      </c>
      <c r="E1" s="17" t="s">
        <v>621</v>
      </c>
    </row>
    <row r="2">
      <c r="A2" s="17">
        <v>2019.0</v>
      </c>
    </row>
    <row r="3">
      <c r="A3" s="31" t="s">
        <v>622</v>
      </c>
      <c r="B3" s="104">
        <v>4386000.0</v>
      </c>
      <c r="C3" s="203">
        <v>2.16008E7</v>
      </c>
      <c r="D3" s="104">
        <f>SUM(B3:C3)</f>
        <v>25986800</v>
      </c>
      <c r="E3" s="72">
        <f t="shared" ref="E3:E9" si="1">D3/12</f>
        <v>2165566.667</v>
      </c>
    </row>
    <row r="4">
      <c r="A4" s="65" t="s">
        <v>623</v>
      </c>
      <c r="B4" s="204"/>
      <c r="C4" s="205">
        <v>2.16008E7</v>
      </c>
      <c r="D4" s="205">
        <v>2.16008E7</v>
      </c>
      <c r="E4" s="72">
        <f t="shared" si="1"/>
        <v>1800066.667</v>
      </c>
    </row>
    <row r="5">
      <c r="B5" s="17"/>
      <c r="C5" s="17" t="s">
        <v>256</v>
      </c>
      <c r="D5" s="206">
        <f>SUM(D3:D4)</f>
        <v>47587600</v>
      </c>
      <c r="E5" s="206">
        <f t="shared" si="1"/>
        <v>3965633.333</v>
      </c>
    </row>
    <row r="6">
      <c r="A6" s="17">
        <v>2020.0</v>
      </c>
      <c r="E6">
        <f t="shared" si="1"/>
        <v>0</v>
      </c>
    </row>
    <row r="7">
      <c r="A7" s="31" t="s">
        <v>622</v>
      </c>
      <c r="B7" s="207">
        <v>2.77167E7</v>
      </c>
      <c r="C7" s="126">
        <v>4.802825E7</v>
      </c>
      <c r="D7" s="207">
        <f>B7+C7</f>
        <v>75744950</v>
      </c>
      <c r="E7" s="66">
        <f t="shared" si="1"/>
        <v>6312079.167</v>
      </c>
    </row>
    <row r="8">
      <c r="A8" s="65" t="s">
        <v>623</v>
      </c>
      <c r="B8" s="204"/>
      <c r="C8" s="208">
        <v>4.802825E7</v>
      </c>
      <c r="D8" s="208">
        <v>4.802825E7</v>
      </c>
      <c r="E8" s="72">
        <f t="shared" si="1"/>
        <v>4002354.167</v>
      </c>
      <c r="G8" s="17" t="s">
        <v>624</v>
      </c>
    </row>
    <row r="9">
      <c r="A9" s="17"/>
      <c r="C9" s="17" t="s">
        <v>256</v>
      </c>
      <c r="D9" s="209">
        <f>SUM(D7:D8)</f>
        <v>123773200</v>
      </c>
      <c r="E9" s="209">
        <f t="shared" si="1"/>
        <v>10314433.33</v>
      </c>
      <c r="G9" s="17" t="s">
        <v>625</v>
      </c>
      <c r="H9" s="18">
        <f>(D9/D5)-100%</f>
        <v>1.600954871</v>
      </c>
    </row>
    <row r="10">
      <c r="A10" s="17">
        <v>2021.0</v>
      </c>
    </row>
    <row r="11">
      <c r="A11" s="31" t="s">
        <v>622</v>
      </c>
      <c r="B11" s="207">
        <v>5.626381E7</v>
      </c>
      <c r="C11" s="126">
        <v>4.993E7</v>
      </c>
      <c r="D11" s="126">
        <f>B11+C11</f>
        <v>106193810</v>
      </c>
      <c r="E11" s="72">
        <f t="shared" ref="E11:E12" si="2">D11/12</f>
        <v>8849484.167</v>
      </c>
    </row>
    <row r="12">
      <c r="A12" s="65" t="s">
        <v>626</v>
      </c>
      <c r="B12" s="142"/>
      <c r="C12" s="208">
        <v>4.993E7</v>
      </c>
      <c r="D12" s="208">
        <v>4.993E7</v>
      </c>
      <c r="E12" s="72">
        <f t="shared" si="2"/>
        <v>4160833.333</v>
      </c>
    </row>
    <row r="13">
      <c r="A13" s="29" t="s">
        <v>627</v>
      </c>
      <c r="B13" s="210">
        <v>9940000.0</v>
      </c>
      <c r="C13" s="211"/>
      <c r="D13" s="210">
        <v>9940000.0</v>
      </c>
      <c r="E13" s="72">
        <f>D13/10</f>
        <v>994000</v>
      </c>
      <c r="G13" s="17" t="s">
        <v>628</v>
      </c>
    </row>
    <row r="14">
      <c r="C14" s="17" t="s">
        <v>256</v>
      </c>
      <c r="D14" s="206">
        <f>SUM(D11:D13)</f>
        <v>166063810</v>
      </c>
      <c r="E14" s="206">
        <f>D14/12</f>
        <v>13838650.83</v>
      </c>
      <c r="G14" s="17" t="s">
        <v>625</v>
      </c>
      <c r="H14" s="18">
        <f>D14/D9-100%</f>
        <v>0.341678247</v>
      </c>
    </row>
    <row r="15">
      <c r="A15" s="17">
        <v>2022.0</v>
      </c>
    </row>
    <row r="16">
      <c r="A16" s="31" t="s">
        <v>629</v>
      </c>
      <c r="B16" s="104">
        <v>1.0490951E8</v>
      </c>
      <c r="C16" s="126">
        <v>3.81073E7</v>
      </c>
      <c r="D16" s="126">
        <f>B16+C16</f>
        <v>143016810</v>
      </c>
      <c r="E16" s="72">
        <f t="shared" ref="E16:E21" si="3">D16/12</f>
        <v>11918067.5</v>
      </c>
    </row>
    <row r="17">
      <c r="A17" s="65" t="s">
        <v>626</v>
      </c>
      <c r="B17" s="142"/>
      <c r="C17" s="208">
        <v>3.81073E7</v>
      </c>
      <c r="D17" s="208">
        <v>3.81073E7</v>
      </c>
      <c r="E17" s="72">
        <f t="shared" si="3"/>
        <v>3175608.333</v>
      </c>
    </row>
    <row r="18">
      <c r="A18" s="29" t="s">
        <v>627</v>
      </c>
      <c r="B18" s="211">
        <v>3.096049E7</v>
      </c>
      <c r="C18" s="211"/>
      <c r="D18" s="210">
        <f t="shared" ref="D18:D20" si="4">B18</f>
        <v>30960490</v>
      </c>
      <c r="E18" s="72">
        <f t="shared" si="3"/>
        <v>2580040.833</v>
      </c>
    </row>
    <row r="19">
      <c r="A19" s="70" t="s">
        <v>630</v>
      </c>
      <c r="B19" s="153">
        <v>5303200.0</v>
      </c>
      <c r="C19" s="153"/>
      <c r="D19" s="153">
        <f t="shared" si="4"/>
        <v>5303200</v>
      </c>
      <c r="E19" s="72">
        <f t="shared" si="3"/>
        <v>441933.3333</v>
      </c>
    </row>
    <row r="20">
      <c r="A20" s="212" t="s">
        <v>631</v>
      </c>
      <c r="B20" s="213">
        <v>6920900.0</v>
      </c>
      <c r="C20" s="213"/>
      <c r="D20" s="213">
        <f t="shared" si="4"/>
        <v>6920900</v>
      </c>
      <c r="E20" s="72">
        <f t="shared" si="3"/>
        <v>576741.6667</v>
      </c>
      <c r="G20" s="17" t="s">
        <v>632</v>
      </c>
    </row>
    <row r="21">
      <c r="C21" s="17" t="s">
        <v>256</v>
      </c>
      <c r="D21" s="206">
        <f>SUM(D16:D20)</f>
        <v>224308700</v>
      </c>
      <c r="E21" s="206">
        <f t="shared" si="3"/>
        <v>18692391.67</v>
      </c>
      <c r="G21" s="17" t="s">
        <v>625</v>
      </c>
      <c r="H21" s="18">
        <f>D21/D14-100%</f>
        <v>0.3507380085</v>
      </c>
    </row>
    <row r="23">
      <c r="A23" s="17">
        <v>2023.0</v>
      </c>
    </row>
    <row r="24">
      <c r="A24" s="31" t="s">
        <v>633</v>
      </c>
      <c r="B24" s="126">
        <v>1.24175E8</v>
      </c>
      <c r="C24" s="126">
        <v>4.1954E7</v>
      </c>
      <c r="D24" s="104">
        <f t="shared" ref="D24:D26" si="5">B24+C24</f>
        <v>166129000</v>
      </c>
      <c r="E24" s="72">
        <f t="shared" ref="E24:E26" si="6">D24/12</f>
        <v>13844083.33</v>
      </c>
    </row>
    <row r="25">
      <c r="A25" s="65" t="s">
        <v>626</v>
      </c>
      <c r="B25" s="142"/>
      <c r="C25" s="208">
        <v>4.1954E7</v>
      </c>
      <c r="D25" s="142">
        <f t="shared" si="5"/>
        <v>41954000</v>
      </c>
      <c r="E25" s="72">
        <f t="shared" si="6"/>
        <v>3496166.667</v>
      </c>
    </row>
    <row r="26">
      <c r="A26" s="29" t="s">
        <v>627</v>
      </c>
      <c r="B26" s="210">
        <v>5.9579E7</v>
      </c>
      <c r="C26" s="211"/>
      <c r="D26" s="211">
        <f t="shared" si="5"/>
        <v>59579000</v>
      </c>
      <c r="E26" s="72">
        <f t="shared" si="6"/>
        <v>4964916.667</v>
      </c>
      <c r="G26" s="17" t="s">
        <v>634</v>
      </c>
    </row>
    <row r="27">
      <c r="C27" s="17" t="s">
        <v>256</v>
      </c>
      <c r="D27" s="206">
        <f t="shared" ref="D27:E27" si="7">D24+D25+D26</f>
        <v>267662000</v>
      </c>
      <c r="E27" s="206">
        <f t="shared" si="7"/>
        <v>22305166.67</v>
      </c>
      <c r="G27" s="17" t="s">
        <v>625</v>
      </c>
      <c r="H27" s="18">
        <f>D27/D21-100%</f>
        <v>0.1932751605</v>
      </c>
    </row>
    <row r="29">
      <c r="A29" s="17">
        <v>2024.0</v>
      </c>
      <c r="D29" s="17" t="s">
        <v>256</v>
      </c>
      <c r="E29" s="17" t="s">
        <v>635</v>
      </c>
    </row>
    <row r="30">
      <c r="A30" s="31" t="s">
        <v>633</v>
      </c>
      <c r="B30" s="126"/>
      <c r="C30" s="126"/>
      <c r="D30" s="126">
        <v>1.42348E8</v>
      </c>
      <c r="E30" s="72">
        <f>D30/12</f>
        <v>11862333.33</v>
      </c>
    </row>
    <row r="31">
      <c r="A31" s="65" t="s">
        <v>636</v>
      </c>
      <c r="B31" s="142"/>
      <c r="C31" s="208"/>
      <c r="D31" s="208">
        <v>5274000.0</v>
      </c>
      <c r="E31" s="72">
        <f>D31/10</f>
        <v>527400</v>
      </c>
    </row>
    <row r="32">
      <c r="A32" s="29" t="s">
        <v>637</v>
      </c>
      <c r="B32" s="210"/>
      <c r="C32" s="211"/>
      <c r="D32" s="210">
        <v>1.10176E8</v>
      </c>
      <c r="E32" s="72">
        <f>D32/12</f>
        <v>9181333.333</v>
      </c>
      <c r="G32" s="17" t="s">
        <v>638</v>
      </c>
    </row>
    <row r="33">
      <c r="C33" s="17" t="s">
        <v>256</v>
      </c>
      <c r="D33" s="206">
        <f t="shared" ref="D33:E33" si="8">D30+D31+D32</f>
        <v>257798000</v>
      </c>
      <c r="E33" s="206">
        <f t="shared" si="8"/>
        <v>21571066.67</v>
      </c>
      <c r="G33" s="17" t="s">
        <v>625</v>
      </c>
      <c r="H33" s="18">
        <f>(D33/D27)-100%</f>
        <v>-0.03685244824</v>
      </c>
    </row>
    <row r="35">
      <c r="A35" s="17">
        <v>2025.0</v>
      </c>
      <c r="D35" s="17" t="s">
        <v>256</v>
      </c>
      <c r="E35" s="17" t="s">
        <v>635</v>
      </c>
    </row>
    <row r="36">
      <c r="A36" s="31" t="s">
        <v>633</v>
      </c>
      <c r="B36" s="126"/>
      <c r="C36" s="126"/>
      <c r="D36" s="126">
        <v>1.44452E8</v>
      </c>
      <c r="E36" s="72">
        <f t="shared" ref="E36:E39" si="9">D36/12</f>
        <v>12037666.67</v>
      </c>
    </row>
    <row r="37">
      <c r="A37" s="65" t="s">
        <v>636</v>
      </c>
      <c r="B37" s="142"/>
      <c r="C37" s="208"/>
      <c r="D37" s="208">
        <v>9767800.0</v>
      </c>
      <c r="E37" s="72">
        <f t="shared" si="9"/>
        <v>813983.3333</v>
      </c>
      <c r="G37" s="17" t="s">
        <v>639</v>
      </c>
    </row>
    <row r="38">
      <c r="A38" s="29" t="s">
        <v>637</v>
      </c>
      <c r="B38" s="210"/>
      <c r="C38" s="211"/>
      <c r="D38" s="210">
        <v>1.06821E8</v>
      </c>
      <c r="E38" s="72">
        <f t="shared" si="9"/>
        <v>8901750</v>
      </c>
      <c r="G38" s="17" t="s">
        <v>625</v>
      </c>
      <c r="H38" s="18">
        <f>(D39/D33)-100%</f>
        <v>0.0125788408</v>
      </c>
    </row>
    <row r="39">
      <c r="D39" s="206">
        <f>SUM(D36:D38)</f>
        <v>261040800</v>
      </c>
      <c r="E39" s="206">
        <f t="shared" si="9"/>
        <v>21753400</v>
      </c>
    </row>
    <row r="93">
      <c r="B93">
        <f>(B49+B50+B56+B65+B69+B75+B59)/4000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14" max="14" width="16.38"/>
  </cols>
  <sheetData>
    <row r="1">
      <c r="A1" s="214" t="s">
        <v>640</v>
      </c>
      <c r="B1" s="215"/>
      <c r="C1" s="216"/>
      <c r="D1" s="216"/>
      <c r="E1" s="215"/>
      <c r="F1" s="215"/>
      <c r="G1" s="215"/>
      <c r="H1" s="215"/>
      <c r="I1" s="215"/>
      <c r="J1" s="215"/>
      <c r="K1" s="215"/>
      <c r="L1" s="215"/>
      <c r="M1" s="215"/>
    </row>
    <row r="2">
      <c r="A2" s="215"/>
      <c r="B2" s="215"/>
      <c r="C2" s="216"/>
      <c r="D2" s="217" t="s">
        <v>641</v>
      </c>
      <c r="E2" s="215"/>
      <c r="F2" s="215"/>
      <c r="G2" s="215"/>
      <c r="H2" s="215"/>
      <c r="I2" s="215"/>
      <c r="J2" s="215"/>
      <c r="K2" s="215"/>
      <c r="L2" s="215"/>
      <c r="M2" s="215"/>
    </row>
    <row r="3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4">
        <v>1.0</v>
      </c>
      <c r="M3" s="215"/>
    </row>
    <row r="4" ht="15.0" customHeight="1">
      <c r="A4" s="218" t="s">
        <v>1</v>
      </c>
      <c r="B4" s="218" t="s">
        <v>30</v>
      </c>
      <c r="C4" s="218" t="s">
        <v>31</v>
      </c>
      <c r="D4" s="218" t="s">
        <v>32</v>
      </c>
      <c r="E4" s="218" t="s">
        <v>33</v>
      </c>
      <c r="F4" s="218" t="s">
        <v>34</v>
      </c>
      <c r="G4" s="218" t="s">
        <v>35</v>
      </c>
      <c r="H4" s="218" t="s">
        <v>36</v>
      </c>
      <c r="I4" s="218" t="s">
        <v>2</v>
      </c>
      <c r="J4" s="218" t="s">
        <v>3</v>
      </c>
      <c r="K4" s="218" t="s">
        <v>4</v>
      </c>
      <c r="L4" s="218" t="s">
        <v>5</v>
      </c>
      <c r="M4" s="218" t="s">
        <v>6</v>
      </c>
      <c r="N4" s="219" t="s">
        <v>642</v>
      </c>
      <c r="O4" s="220" t="s">
        <v>285</v>
      </c>
    </row>
    <row r="5" ht="15.0" customHeight="1">
      <c r="A5" s="221" t="s">
        <v>219</v>
      </c>
      <c r="B5" s="222"/>
      <c r="C5" s="223">
        <v>2600000.0</v>
      </c>
      <c r="D5" s="223">
        <v>0.0</v>
      </c>
      <c r="E5" s="223">
        <v>0.0</v>
      </c>
      <c r="F5" s="223">
        <v>0.0</v>
      </c>
      <c r="G5" s="223">
        <v>0.0</v>
      </c>
      <c r="H5" s="223">
        <v>0.0</v>
      </c>
      <c r="I5" s="223">
        <v>2600000.0</v>
      </c>
      <c r="J5" s="223">
        <v>0.0</v>
      </c>
      <c r="K5" s="223">
        <v>0.0</v>
      </c>
      <c r="L5" s="223">
        <v>0.0</v>
      </c>
      <c r="M5" s="223">
        <v>0.0</v>
      </c>
      <c r="N5" s="224">
        <f t="shared" ref="N5:N53" si="1">SUM(B5:M5)</f>
        <v>5200000</v>
      </c>
      <c r="O5" s="225"/>
    </row>
    <row r="6" ht="15.0" customHeight="1">
      <c r="A6" s="226" t="s">
        <v>643</v>
      </c>
      <c r="B6" s="222"/>
      <c r="C6" s="227"/>
      <c r="D6" s="227"/>
      <c r="E6" s="227"/>
      <c r="F6" s="227"/>
      <c r="G6" s="227"/>
      <c r="H6" s="228">
        <v>240000.0</v>
      </c>
      <c r="I6" s="228">
        <v>480000.0</v>
      </c>
      <c r="J6" s="228">
        <v>480000.0</v>
      </c>
      <c r="K6" s="228">
        <v>480000.0</v>
      </c>
      <c r="L6" s="228">
        <v>480000.0</v>
      </c>
      <c r="M6" s="228">
        <v>480000.0</v>
      </c>
      <c r="N6" s="224">
        <f t="shared" si="1"/>
        <v>2640000</v>
      </c>
      <c r="O6" s="225"/>
    </row>
    <row r="7" ht="15.0" customHeight="1">
      <c r="A7" s="229" t="s">
        <v>644</v>
      </c>
      <c r="B7" s="222"/>
      <c r="C7" s="223">
        <v>175000.0</v>
      </c>
      <c r="D7" s="223">
        <v>350000.0</v>
      </c>
      <c r="E7" s="223">
        <v>350000.0</v>
      </c>
      <c r="F7" s="223">
        <v>350000.0</v>
      </c>
      <c r="G7" s="227"/>
      <c r="H7" s="227"/>
      <c r="I7" s="227"/>
      <c r="J7" s="227"/>
      <c r="K7" s="227"/>
      <c r="L7" s="227"/>
      <c r="M7" s="227"/>
      <c r="N7" s="224">
        <f t="shared" si="1"/>
        <v>1225000</v>
      </c>
      <c r="O7" s="225"/>
    </row>
    <row r="8" ht="15.0" customHeight="1">
      <c r="A8" s="229" t="s">
        <v>645</v>
      </c>
      <c r="B8" s="230">
        <v>345000.0</v>
      </c>
      <c r="C8" s="223">
        <v>450000.0</v>
      </c>
      <c r="D8" s="223">
        <v>450000.0</v>
      </c>
      <c r="E8" s="223">
        <v>450000.0</v>
      </c>
      <c r="F8" s="223">
        <v>450000.0</v>
      </c>
      <c r="G8" s="223">
        <v>450000.0</v>
      </c>
      <c r="H8" s="227"/>
      <c r="I8" s="227"/>
      <c r="J8" s="227"/>
      <c r="K8" s="227"/>
      <c r="L8" s="227"/>
      <c r="M8" s="227"/>
      <c r="N8" s="224">
        <f t="shared" si="1"/>
        <v>2595000</v>
      </c>
      <c r="O8" s="225"/>
    </row>
    <row r="9" ht="15.0" customHeight="1">
      <c r="A9" s="229" t="s">
        <v>646</v>
      </c>
      <c r="B9" s="230">
        <v>116000.0</v>
      </c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4">
        <f t="shared" si="1"/>
        <v>116000</v>
      </c>
      <c r="O9" s="225"/>
    </row>
    <row r="10" ht="15.0" customHeight="1">
      <c r="A10" s="229" t="s">
        <v>647</v>
      </c>
      <c r="B10" s="222"/>
      <c r="C10" s="227"/>
      <c r="D10" s="227"/>
      <c r="E10" s="227"/>
      <c r="F10" s="223">
        <v>225000.0</v>
      </c>
      <c r="G10" s="223">
        <v>450000.0</v>
      </c>
      <c r="H10" s="223">
        <v>450000.0</v>
      </c>
      <c r="I10" s="223">
        <v>450000.0</v>
      </c>
      <c r="J10" s="227"/>
      <c r="K10" s="227"/>
      <c r="L10" s="227"/>
      <c r="M10" s="227"/>
      <c r="N10" s="224">
        <f t="shared" si="1"/>
        <v>1575000</v>
      </c>
      <c r="O10" s="225"/>
    </row>
    <row r="11" ht="15.0" customHeight="1">
      <c r="A11" s="229" t="s">
        <v>147</v>
      </c>
      <c r="B11" s="223">
        <v>450000.0</v>
      </c>
      <c r="C11" s="230">
        <v>450000.0</v>
      </c>
      <c r="D11" s="230">
        <v>450000.0</v>
      </c>
      <c r="E11" s="223">
        <v>450000.0</v>
      </c>
      <c r="F11" s="223">
        <v>450000.0</v>
      </c>
      <c r="G11" s="223">
        <v>450000.0</v>
      </c>
      <c r="H11" s="223">
        <v>450000.0</v>
      </c>
      <c r="I11" s="223">
        <v>450000.0</v>
      </c>
      <c r="J11" s="223">
        <v>210000.0</v>
      </c>
      <c r="K11" s="227"/>
      <c r="L11" s="227"/>
      <c r="M11" s="227"/>
      <c r="N11" s="224">
        <f t="shared" si="1"/>
        <v>3810000</v>
      </c>
      <c r="O11" s="225"/>
    </row>
    <row r="12" ht="15.0" customHeight="1">
      <c r="A12" s="221" t="s">
        <v>648</v>
      </c>
      <c r="B12" s="227"/>
      <c r="C12" s="222"/>
      <c r="D12" s="222"/>
      <c r="E12" s="227"/>
      <c r="F12" s="227"/>
      <c r="G12" s="227"/>
      <c r="H12" s="227"/>
      <c r="I12" s="227"/>
      <c r="J12" s="227"/>
      <c r="K12" s="227"/>
      <c r="L12" s="223">
        <v>350000.0</v>
      </c>
      <c r="M12" s="223">
        <v>350000.0</v>
      </c>
      <c r="N12" s="224">
        <f t="shared" si="1"/>
        <v>700000</v>
      </c>
      <c r="O12" s="225"/>
    </row>
    <row r="13" ht="15.0" customHeight="1">
      <c r="A13" s="229" t="s">
        <v>649</v>
      </c>
      <c r="B13" s="227"/>
      <c r="C13" s="222"/>
      <c r="D13" s="222"/>
      <c r="E13" s="227"/>
      <c r="F13" s="227"/>
      <c r="G13" s="227"/>
      <c r="H13" s="227"/>
      <c r="I13" s="223">
        <v>350000.0</v>
      </c>
      <c r="J13" s="223">
        <v>350000.0</v>
      </c>
      <c r="K13" s="223">
        <v>350000.0</v>
      </c>
      <c r="L13" s="223">
        <v>350000.0</v>
      </c>
      <c r="M13" s="227"/>
      <c r="N13" s="224">
        <f t="shared" si="1"/>
        <v>1400000</v>
      </c>
      <c r="O13" s="225"/>
    </row>
    <row r="14" ht="15.0" customHeight="1">
      <c r="A14" s="229" t="s">
        <v>650</v>
      </c>
      <c r="B14" s="227"/>
      <c r="C14" s="222"/>
      <c r="D14" s="222"/>
      <c r="E14" s="227"/>
      <c r="F14" s="227"/>
      <c r="G14" s="227"/>
      <c r="H14" s="223">
        <v>450000.0</v>
      </c>
      <c r="I14" s="223">
        <v>450000.0</v>
      </c>
      <c r="J14" s="223">
        <v>450000.0</v>
      </c>
      <c r="K14" s="223">
        <v>450000.0</v>
      </c>
      <c r="L14" s="227"/>
      <c r="M14" s="227"/>
      <c r="N14" s="224">
        <f t="shared" si="1"/>
        <v>1800000</v>
      </c>
      <c r="O14" s="225"/>
    </row>
    <row r="15" ht="15.0" customHeight="1">
      <c r="A15" s="221" t="s">
        <v>651</v>
      </c>
      <c r="B15" s="227"/>
      <c r="C15" s="230">
        <v>1320000.0</v>
      </c>
      <c r="D15" s="230">
        <v>0.0</v>
      </c>
      <c r="E15" s="223">
        <v>0.0</v>
      </c>
      <c r="F15" s="223">
        <v>450000.0</v>
      </c>
      <c r="G15" s="223">
        <v>450000.0</v>
      </c>
      <c r="H15" s="223">
        <v>450000.0</v>
      </c>
      <c r="I15" s="223">
        <v>450000.0</v>
      </c>
      <c r="J15" s="223">
        <v>450000.0</v>
      </c>
      <c r="K15" s="223">
        <v>450000.0</v>
      </c>
      <c r="L15" s="223">
        <v>450000.0</v>
      </c>
      <c r="M15" s="223">
        <v>450000.0</v>
      </c>
      <c r="N15" s="224">
        <f t="shared" si="1"/>
        <v>4920000</v>
      </c>
      <c r="O15" s="225"/>
    </row>
    <row r="16" ht="15.0" customHeight="1">
      <c r="A16" s="229" t="s">
        <v>487</v>
      </c>
      <c r="B16" s="223">
        <v>450000.0</v>
      </c>
      <c r="C16" s="230">
        <v>450000.0</v>
      </c>
      <c r="D16" s="230">
        <v>450000.0</v>
      </c>
      <c r="E16" s="223">
        <v>450000.0</v>
      </c>
      <c r="F16" s="223">
        <v>450000.0</v>
      </c>
      <c r="G16" s="223">
        <v>450000.0</v>
      </c>
      <c r="H16" s="223">
        <v>450000.0</v>
      </c>
      <c r="I16" s="223">
        <v>450000.0</v>
      </c>
      <c r="J16" s="227"/>
      <c r="K16" s="227"/>
      <c r="L16" s="227"/>
      <c r="M16" s="227"/>
      <c r="N16" s="224">
        <f t="shared" si="1"/>
        <v>3600000</v>
      </c>
      <c r="O16" s="225"/>
    </row>
    <row r="17" ht="15.0" customHeight="1">
      <c r="A17" s="229" t="s">
        <v>652</v>
      </c>
      <c r="B17" s="223">
        <v>225000.0</v>
      </c>
      <c r="C17" s="230">
        <v>450000.0</v>
      </c>
      <c r="D17" s="230">
        <v>450000.0</v>
      </c>
      <c r="E17" s="223">
        <v>450000.0</v>
      </c>
      <c r="F17" s="223">
        <v>450000.0</v>
      </c>
      <c r="G17" s="223">
        <v>450000.0</v>
      </c>
      <c r="H17" s="223">
        <v>450000.0</v>
      </c>
      <c r="I17" s="223">
        <v>450000.0</v>
      </c>
      <c r="J17" s="227"/>
      <c r="K17" s="227"/>
      <c r="L17" s="227"/>
      <c r="M17" s="227"/>
      <c r="N17" s="224">
        <f t="shared" si="1"/>
        <v>3375000</v>
      </c>
      <c r="O17" s="225"/>
    </row>
    <row r="18" ht="15.0" customHeight="1">
      <c r="A18" s="221" t="s">
        <v>53</v>
      </c>
      <c r="B18" s="227"/>
      <c r="C18" s="222"/>
      <c r="D18" s="222"/>
      <c r="E18" s="227"/>
      <c r="F18" s="227"/>
      <c r="G18" s="227"/>
      <c r="H18" s="227"/>
      <c r="I18" s="227"/>
      <c r="J18" s="227"/>
      <c r="K18" s="227"/>
      <c r="L18" s="223">
        <v>350000.0</v>
      </c>
      <c r="M18" s="223">
        <v>350000.0</v>
      </c>
      <c r="N18" s="224">
        <f t="shared" si="1"/>
        <v>700000</v>
      </c>
      <c r="O18" s="225"/>
    </row>
    <row r="19" ht="15.0" customHeight="1">
      <c r="A19" s="221" t="s">
        <v>490</v>
      </c>
      <c r="B19" s="223">
        <v>450000.0</v>
      </c>
      <c r="C19" s="230">
        <v>450000.0</v>
      </c>
      <c r="D19" s="230">
        <v>450000.0</v>
      </c>
      <c r="E19" s="223">
        <v>450000.0</v>
      </c>
      <c r="F19" s="223">
        <v>450000.0</v>
      </c>
      <c r="G19" s="223">
        <v>450000.0</v>
      </c>
      <c r="H19" s="223">
        <v>450000.0</v>
      </c>
      <c r="I19" s="223">
        <v>450000.0</v>
      </c>
      <c r="J19" s="231">
        <v>0.0</v>
      </c>
      <c r="K19" s="223">
        <v>450000.0</v>
      </c>
      <c r="L19" s="223">
        <v>450000.0</v>
      </c>
      <c r="M19" s="223">
        <v>450000.0</v>
      </c>
      <c r="N19" s="224">
        <f t="shared" si="1"/>
        <v>4950000</v>
      </c>
      <c r="O19" s="225"/>
    </row>
    <row r="20" ht="15.0" customHeight="1">
      <c r="A20" s="221" t="s">
        <v>653</v>
      </c>
      <c r="B20" s="227"/>
      <c r="C20" s="230">
        <v>1000000.0</v>
      </c>
      <c r="D20" s="230">
        <v>0.0</v>
      </c>
      <c r="E20" s="223">
        <v>0.0</v>
      </c>
      <c r="F20" s="223">
        <v>1000000.0</v>
      </c>
      <c r="G20" s="223">
        <v>0.0</v>
      </c>
      <c r="H20" s="223">
        <v>0.0</v>
      </c>
      <c r="I20" s="223">
        <v>1000000.0</v>
      </c>
      <c r="J20" s="223">
        <v>0.0</v>
      </c>
      <c r="K20" s="223">
        <v>0.0</v>
      </c>
      <c r="L20" s="223">
        <v>1000000.0</v>
      </c>
      <c r="M20" s="223">
        <v>0.0</v>
      </c>
      <c r="N20" s="224">
        <f t="shared" si="1"/>
        <v>4000000</v>
      </c>
      <c r="O20" s="225"/>
    </row>
    <row r="21" ht="15.0" customHeight="1">
      <c r="A21" s="226" t="s">
        <v>226</v>
      </c>
      <c r="B21" s="228">
        <v>5000000.0</v>
      </c>
      <c r="C21" s="228">
        <v>0.0</v>
      </c>
      <c r="D21" s="228">
        <v>0.0</v>
      </c>
      <c r="E21" s="228">
        <v>0.0</v>
      </c>
      <c r="F21" s="228">
        <v>0.0</v>
      </c>
      <c r="G21" s="228">
        <v>0.0</v>
      </c>
      <c r="H21" s="228">
        <v>0.0</v>
      </c>
      <c r="I21" s="228">
        <v>0.0</v>
      </c>
      <c r="J21" s="228">
        <v>0.0</v>
      </c>
      <c r="K21" s="228">
        <v>0.0</v>
      </c>
      <c r="L21" s="228">
        <v>0.0</v>
      </c>
      <c r="M21" s="228">
        <v>0.0</v>
      </c>
      <c r="N21" s="224">
        <f t="shared" si="1"/>
        <v>5000000</v>
      </c>
      <c r="O21" s="225"/>
    </row>
    <row r="22" ht="15.0" customHeight="1">
      <c r="A22" s="226" t="s">
        <v>214</v>
      </c>
      <c r="B22" s="232">
        <v>480000.0</v>
      </c>
      <c r="C22" s="228">
        <v>480000.0</v>
      </c>
      <c r="D22" s="228">
        <v>480000.0</v>
      </c>
      <c r="E22" s="228">
        <v>480000.0</v>
      </c>
      <c r="F22" s="228">
        <v>480000.0</v>
      </c>
      <c r="G22" s="227"/>
      <c r="H22" s="228">
        <v>240000.0</v>
      </c>
      <c r="I22" s="228">
        <v>240000.0</v>
      </c>
      <c r="J22" s="228">
        <v>240000.0</v>
      </c>
      <c r="K22" s="228">
        <v>240000.0</v>
      </c>
      <c r="L22" s="228">
        <v>240000.0</v>
      </c>
      <c r="M22" s="228">
        <v>240000.0</v>
      </c>
      <c r="N22" s="224">
        <f t="shared" si="1"/>
        <v>3840000</v>
      </c>
      <c r="O22" s="225"/>
    </row>
    <row r="23" ht="15.0" customHeight="1">
      <c r="A23" s="221" t="s">
        <v>498</v>
      </c>
      <c r="B23" s="223">
        <v>450000.0</v>
      </c>
      <c r="C23" s="223">
        <v>450000.0</v>
      </c>
      <c r="D23" s="223">
        <v>450000.0</v>
      </c>
      <c r="E23" s="223">
        <v>450000.0</v>
      </c>
      <c r="F23" s="223">
        <v>450000.0</v>
      </c>
      <c r="G23" s="223">
        <v>450000.0</v>
      </c>
      <c r="H23" s="223">
        <v>450000.0</v>
      </c>
      <c r="I23" s="223">
        <v>450000.0</v>
      </c>
      <c r="J23" s="223">
        <v>450000.0</v>
      </c>
      <c r="K23" s="223">
        <v>450000.0</v>
      </c>
      <c r="L23" s="223">
        <v>450000.0</v>
      </c>
      <c r="M23" s="223">
        <v>450000.0</v>
      </c>
      <c r="N23" s="224">
        <f t="shared" si="1"/>
        <v>5400000</v>
      </c>
      <c r="O23" s="225"/>
    </row>
    <row r="24" ht="15.0" customHeight="1">
      <c r="A24" s="226" t="s">
        <v>654</v>
      </c>
      <c r="B24" s="227"/>
      <c r="C24" s="227"/>
      <c r="D24" s="227"/>
      <c r="E24" s="227"/>
      <c r="F24" s="227"/>
      <c r="G24" s="227"/>
      <c r="H24" s="227"/>
      <c r="I24" s="228">
        <v>480000.0</v>
      </c>
      <c r="J24" s="228">
        <v>480000.0</v>
      </c>
      <c r="K24" s="228">
        <v>480000.0</v>
      </c>
      <c r="L24" s="228">
        <v>480000.0</v>
      </c>
      <c r="M24" s="228">
        <v>480000.0</v>
      </c>
      <c r="N24" s="224">
        <f t="shared" si="1"/>
        <v>2400000</v>
      </c>
      <c r="O24" s="225"/>
    </row>
    <row r="25" ht="15.0" customHeight="1">
      <c r="A25" s="221" t="s">
        <v>229</v>
      </c>
      <c r="B25" s="230">
        <v>1320000.0</v>
      </c>
      <c r="C25" s="223">
        <v>0.0</v>
      </c>
      <c r="D25" s="223">
        <v>0.0</v>
      </c>
      <c r="E25" s="223">
        <v>450000.0</v>
      </c>
      <c r="F25" s="223">
        <v>450000.0</v>
      </c>
      <c r="G25" s="223">
        <v>350000.0</v>
      </c>
      <c r="H25" s="223">
        <v>350000.0</v>
      </c>
      <c r="I25" s="223">
        <v>350000.0</v>
      </c>
      <c r="J25" s="223">
        <v>350000.0</v>
      </c>
      <c r="K25" s="227"/>
      <c r="L25" s="233">
        <v>350000.0</v>
      </c>
      <c r="M25" s="223">
        <v>350000.0</v>
      </c>
      <c r="N25" s="224">
        <f t="shared" si="1"/>
        <v>4320000</v>
      </c>
      <c r="O25" s="225"/>
    </row>
    <row r="26" ht="15.0" customHeight="1">
      <c r="A26" s="221" t="s">
        <v>655</v>
      </c>
      <c r="B26" s="222"/>
      <c r="C26" s="227"/>
      <c r="D26" s="227"/>
      <c r="E26" s="227"/>
      <c r="F26" s="227"/>
      <c r="G26" s="227"/>
      <c r="H26" s="227"/>
      <c r="I26" s="227"/>
      <c r="J26" s="227"/>
      <c r="K26" s="227"/>
      <c r="L26" s="234"/>
      <c r="M26" s="223">
        <v>405000.0</v>
      </c>
      <c r="N26" s="224">
        <f t="shared" si="1"/>
        <v>405000</v>
      </c>
      <c r="O26" s="225"/>
    </row>
    <row r="27" ht="15.0" customHeight="1">
      <c r="A27" s="229" t="s">
        <v>656</v>
      </c>
      <c r="B27" s="222"/>
      <c r="C27" s="223">
        <v>225000.0</v>
      </c>
      <c r="D27" s="223">
        <v>450000.0</v>
      </c>
      <c r="E27" s="223">
        <v>450000.0</v>
      </c>
      <c r="F27" s="223">
        <v>450000.0</v>
      </c>
      <c r="G27" s="223">
        <v>450000.0</v>
      </c>
      <c r="H27" s="223">
        <v>450000.0</v>
      </c>
      <c r="I27" s="227"/>
      <c r="J27" s="227"/>
      <c r="K27" s="227"/>
      <c r="L27" s="234"/>
      <c r="M27" s="227"/>
      <c r="N27" s="224">
        <f t="shared" si="1"/>
        <v>2475000</v>
      </c>
      <c r="O27" s="225"/>
    </row>
    <row r="28" ht="15.0" customHeight="1">
      <c r="A28" s="229" t="s">
        <v>503</v>
      </c>
      <c r="B28" s="235">
        <v>400000.0</v>
      </c>
      <c r="C28" s="228">
        <v>400000.0</v>
      </c>
      <c r="D28" s="235">
        <v>400000.0</v>
      </c>
      <c r="E28" s="228">
        <v>400000.0</v>
      </c>
      <c r="F28" s="228">
        <v>400000.0</v>
      </c>
      <c r="G28" s="228">
        <v>400000.0</v>
      </c>
      <c r="H28" s="228">
        <v>400000.0</v>
      </c>
      <c r="I28" s="228">
        <v>400000.0</v>
      </c>
      <c r="J28" s="227"/>
      <c r="K28" s="227"/>
      <c r="L28" s="234"/>
      <c r="M28" s="227"/>
      <c r="N28" s="224">
        <f t="shared" si="1"/>
        <v>3200000</v>
      </c>
      <c r="O28" s="225"/>
    </row>
    <row r="29" ht="15.0" customHeight="1">
      <c r="A29" s="236" t="s">
        <v>657</v>
      </c>
      <c r="B29" s="222"/>
      <c r="C29" s="227"/>
      <c r="D29" s="237">
        <v>450000.0</v>
      </c>
      <c r="E29" s="238">
        <v>450000.0</v>
      </c>
      <c r="F29" s="238">
        <v>450000.0</v>
      </c>
      <c r="G29" s="238">
        <v>450000.0</v>
      </c>
      <c r="H29" s="238">
        <v>450000.0</v>
      </c>
      <c r="I29" s="238">
        <v>450000.0</v>
      </c>
      <c r="J29" s="238">
        <v>450000.0</v>
      </c>
      <c r="K29" s="238">
        <v>450000.0</v>
      </c>
      <c r="L29" s="239">
        <v>450000.0</v>
      </c>
      <c r="M29" s="238">
        <v>450000.0</v>
      </c>
      <c r="N29" s="224">
        <f t="shared" si="1"/>
        <v>4500000</v>
      </c>
      <c r="O29" s="225"/>
    </row>
    <row r="30" ht="15.0" customHeight="1">
      <c r="A30" s="236" t="s">
        <v>658</v>
      </c>
      <c r="B30" s="222"/>
      <c r="C30" s="227"/>
      <c r="D30" s="222"/>
      <c r="E30" s="227"/>
      <c r="F30" s="227"/>
      <c r="G30" s="238">
        <v>450000.0</v>
      </c>
      <c r="H30" s="238">
        <v>450000.0</v>
      </c>
      <c r="I30" s="238">
        <v>450000.0</v>
      </c>
      <c r="J30" s="238">
        <v>450000.0</v>
      </c>
      <c r="K30" s="238">
        <v>450000.0</v>
      </c>
      <c r="L30" s="239">
        <v>450000.0</v>
      </c>
      <c r="M30" s="238">
        <v>315000.0</v>
      </c>
      <c r="N30" s="224">
        <f t="shared" si="1"/>
        <v>3015000</v>
      </c>
      <c r="O30" s="225"/>
    </row>
    <row r="31" ht="15.0" customHeight="1">
      <c r="A31" s="229" t="s">
        <v>141</v>
      </c>
      <c r="B31" s="228">
        <v>0.0</v>
      </c>
      <c r="C31" s="228">
        <v>0.0</v>
      </c>
      <c r="D31" s="235">
        <v>400000.0</v>
      </c>
      <c r="E31" s="228">
        <v>400000.0</v>
      </c>
      <c r="F31" s="227"/>
      <c r="G31" s="227"/>
      <c r="H31" s="227"/>
      <c r="I31" s="227"/>
      <c r="J31" s="227"/>
      <c r="K31" s="227"/>
      <c r="L31" s="227"/>
      <c r="M31" s="227"/>
      <c r="N31" s="224">
        <f t="shared" si="1"/>
        <v>800000</v>
      </c>
      <c r="O31" s="225"/>
    </row>
    <row r="32" ht="15.0" customHeight="1">
      <c r="A32" s="221" t="s">
        <v>508</v>
      </c>
      <c r="B32" s="223">
        <v>450000.0</v>
      </c>
      <c r="C32" s="230">
        <v>450000.0</v>
      </c>
      <c r="D32" s="230">
        <v>450000.0</v>
      </c>
      <c r="E32" s="223">
        <v>450000.0</v>
      </c>
      <c r="F32" s="223">
        <v>450000.0</v>
      </c>
      <c r="G32" s="223">
        <v>450000.0</v>
      </c>
      <c r="H32" s="223">
        <v>450000.0</v>
      </c>
      <c r="I32" s="223">
        <v>450000.0</v>
      </c>
      <c r="J32" s="223">
        <v>450000.0</v>
      </c>
      <c r="K32" s="223">
        <v>450000.0</v>
      </c>
      <c r="L32" s="223">
        <v>450000.0</v>
      </c>
      <c r="M32" s="223">
        <v>450000.0</v>
      </c>
      <c r="N32" s="224">
        <f t="shared" si="1"/>
        <v>5400000</v>
      </c>
      <c r="O32" s="225"/>
    </row>
    <row r="33" ht="15.0" customHeight="1">
      <c r="A33" s="229" t="s">
        <v>659</v>
      </c>
      <c r="B33" s="227"/>
      <c r="C33" s="222"/>
      <c r="D33" s="222"/>
      <c r="E33" s="227"/>
      <c r="F33" s="227"/>
      <c r="G33" s="227"/>
      <c r="H33" s="223">
        <v>450000.0</v>
      </c>
      <c r="I33" s="223">
        <v>450000.0</v>
      </c>
      <c r="J33" s="223">
        <v>450000.0</v>
      </c>
      <c r="K33" s="223">
        <v>225000.0</v>
      </c>
      <c r="L33" s="227"/>
      <c r="M33" s="227"/>
      <c r="N33" s="224">
        <f t="shared" si="1"/>
        <v>1575000</v>
      </c>
      <c r="O33" s="225"/>
    </row>
    <row r="34" ht="15.0" customHeight="1">
      <c r="A34" s="229" t="s">
        <v>509</v>
      </c>
      <c r="B34" s="223">
        <v>450000.0</v>
      </c>
      <c r="C34" s="230">
        <v>450000.0</v>
      </c>
      <c r="D34" s="230">
        <v>450000.0</v>
      </c>
      <c r="E34" s="223">
        <v>450000.0</v>
      </c>
      <c r="F34" s="223">
        <v>450000.0</v>
      </c>
      <c r="G34" s="223">
        <v>450000.0</v>
      </c>
      <c r="H34" s="223">
        <v>450000.0</v>
      </c>
      <c r="I34" s="223">
        <v>450000.0</v>
      </c>
      <c r="J34" s="223">
        <v>450000.0</v>
      </c>
      <c r="K34" s="227"/>
      <c r="L34" s="227"/>
      <c r="M34" s="227"/>
      <c r="N34" s="224">
        <f t="shared" si="1"/>
        <v>4050000</v>
      </c>
      <c r="O34" s="225"/>
    </row>
    <row r="35" ht="15.0" customHeight="1">
      <c r="A35" s="221" t="s">
        <v>660</v>
      </c>
      <c r="B35" s="227"/>
      <c r="C35" s="222"/>
      <c r="D35" s="222"/>
      <c r="E35" s="227"/>
      <c r="F35" s="227"/>
      <c r="G35" s="227"/>
      <c r="H35" s="223">
        <v>225000.0</v>
      </c>
      <c r="I35" s="223">
        <v>450000.0</v>
      </c>
      <c r="J35" s="223">
        <v>450000.0</v>
      </c>
      <c r="K35" s="223">
        <v>450000.0</v>
      </c>
      <c r="L35" s="223">
        <v>450000.0</v>
      </c>
      <c r="M35" s="223">
        <v>405000.0</v>
      </c>
      <c r="N35" s="224">
        <f t="shared" si="1"/>
        <v>2430000</v>
      </c>
      <c r="O35" s="225"/>
    </row>
    <row r="36" ht="15.0" customHeight="1">
      <c r="A36" s="221" t="s">
        <v>510</v>
      </c>
      <c r="B36" s="223">
        <v>5000000.0</v>
      </c>
      <c r="C36" s="230">
        <v>0.0</v>
      </c>
      <c r="D36" s="230">
        <v>0.0</v>
      </c>
      <c r="E36" s="223">
        <v>0.0</v>
      </c>
      <c r="F36" s="223">
        <v>0.0</v>
      </c>
      <c r="G36" s="223">
        <v>0.0</v>
      </c>
      <c r="H36" s="223">
        <v>0.0</v>
      </c>
      <c r="I36" s="223">
        <v>0.0</v>
      </c>
      <c r="J36" s="223">
        <v>0.0</v>
      </c>
      <c r="K36" s="223">
        <v>0.0</v>
      </c>
      <c r="L36" s="223">
        <v>0.0</v>
      </c>
      <c r="M36" s="223">
        <v>0.0</v>
      </c>
      <c r="N36" s="224">
        <f t="shared" si="1"/>
        <v>5000000</v>
      </c>
      <c r="O36" s="225"/>
    </row>
    <row r="37" ht="15.0" customHeight="1">
      <c r="A37" s="221" t="s">
        <v>661</v>
      </c>
      <c r="B37" s="227"/>
      <c r="C37" s="222"/>
      <c r="D37" s="222"/>
      <c r="E37" s="227"/>
      <c r="F37" s="223">
        <v>225000.0</v>
      </c>
      <c r="G37" s="223">
        <v>450000.0</v>
      </c>
      <c r="H37" s="223">
        <v>450000.0</v>
      </c>
      <c r="I37" s="223">
        <v>450000.0</v>
      </c>
      <c r="J37" s="223">
        <v>450000.0</v>
      </c>
      <c r="K37" s="223">
        <v>450000.0</v>
      </c>
      <c r="L37" s="223">
        <v>450000.0</v>
      </c>
      <c r="M37" s="223">
        <v>450000.0</v>
      </c>
      <c r="N37" s="224">
        <f t="shared" si="1"/>
        <v>3375000</v>
      </c>
      <c r="O37" s="225"/>
    </row>
    <row r="38" ht="15.0" customHeight="1">
      <c r="A38" s="221" t="s">
        <v>662</v>
      </c>
      <c r="B38" s="227"/>
      <c r="C38" s="222"/>
      <c r="D38" s="222"/>
      <c r="E38" s="227"/>
      <c r="F38" s="227"/>
      <c r="G38" s="223">
        <v>350000.0</v>
      </c>
      <c r="H38" s="223">
        <v>350000.0</v>
      </c>
      <c r="I38" s="223">
        <v>350000.0</v>
      </c>
      <c r="J38" s="223">
        <v>350000.0</v>
      </c>
      <c r="K38" s="223">
        <v>350000.0</v>
      </c>
      <c r="L38" s="223">
        <v>350000.0</v>
      </c>
      <c r="M38" s="223">
        <v>315000.0</v>
      </c>
      <c r="N38" s="224">
        <f t="shared" si="1"/>
        <v>2415000</v>
      </c>
      <c r="O38" s="225"/>
    </row>
    <row r="39" ht="15.0" customHeight="1">
      <c r="A39" s="221" t="s">
        <v>663</v>
      </c>
      <c r="B39" s="227"/>
      <c r="C39" s="222"/>
      <c r="D39" s="222"/>
      <c r="E39" s="227"/>
      <c r="F39" s="227"/>
      <c r="G39" s="227"/>
      <c r="H39" s="227"/>
      <c r="I39" s="227"/>
      <c r="J39" s="227"/>
      <c r="K39" s="227"/>
      <c r="L39" s="223">
        <v>105000.0</v>
      </c>
      <c r="M39" s="223">
        <v>350000.0</v>
      </c>
      <c r="N39" s="224">
        <f t="shared" si="1"/>
        <v>455000</v>
      </c>
      <c r="O39" s="225"/>
    </row>
    <row r="40" ht="15.0" customHeight="1">
      <c r="A40" s="221" t="s">
        <v>664</v>
      </c>
      <c r="B40" s="223">
        <v>2600000.0</v>
      </c>
      <c r="C40" s="230">
        <v>0.0</v>
      </c>
      <c r="D40" s="230">
        <v>0.0</v>
      </c>
      <c r="E40" s="223">
        <v>0.0</v>
      </c>
      <c r="F40" s="223">
        <v>0.0</v>
      </c>
      <c r="G40" s="223">
        <v>0.0</v>
      </c>
      <c r="H40" s="223">
        <v>1320000.0</v>
      </c>
      <c r="I40" s="223">
        <v>0.0</v>
      </c>
      <c r="J40" s="223">
        <v>0.0</v>
      </c>
      <c r="K40" s="223">
        <v>1320000.0</v>
      </c>
      <c r="L40" s="223">
        <v>0.0</v>
      </c>
      <c r="M40" s="223">
        <v>0.0</v>
      </c>
      <c r="N40" s="224">
        <f t="shared" si="1"/>
        <v>5240000</v>
      </c>
      <c r="O40" s="225"/>
    </row>
    <row r="41" ht="15.0" customHeight="1">
      <c r="A41" s="221" t="s">
        <v>235</v>
      </c>
      <c r="B41" s="223">
        <v>450000.0</v>
      </c>
      <c r="C41" s="230">
        <v>450000.0</v>
      </c>
      <c r="D41" s="230">
        <v>450000.0</v>
      </c>
      <c r="E41" s="223">
        <v>450000.0</v>
      </c>
      <c r="F41" s="223">
        <v>450000.0</v>
      </c>
      <c r="G41" s="223">
        <v>450000.0</v>
      </c>
      <c r="H41" s="223">
        <v>450000.0</v>
      </c>
      <c r="I41" s="223">
        <v>450000.0</v>
      </c>
      <c r="J41" s="223">
        <v>450000.0</v>
      </c>
      <c r="K41" s="223">
        <v>450000.0</v>
      </c>
      <c r="L41" s="223">
        <v>450000.0</v>
      </c>
      <c r="M41" s="223">
        <v>450000.0</v>
      </c>
      <c r="N41" s="224">
        <f t="shared" si="1"/>
        <v>5400000</v>
      </c>
      <c r="O41" s="225"/>
    </row>
    <row r="42" ht="15.0" customHeight="1">
      <c r="A42" s="229" t="s">
        <v>665</v>
      </c>
      <c r="B42" s="227"/>
      <c r="C42" s="222"/>
      <c r="D42" s="222"/>
      <c r="E42" s="227"/>
      <c r="F42" s="227"/>
      <c r="G42" s="223">
        <v>225000.0</v>
      </c>
      <c r="H42" s="223">
        <v>450000.0</v>
      </c>
      <c r="I42" s="223">
        <v>450000.0</v>
      </c>
      <c r="J42" s="227"/>
      <c r="K42" s="227"/>
      <c r="L42" s="227"/>
      <c r="M42" s="227"/>
      <c r="N42" s="224">
        <f t="shared" si="1"/>
        <v>1125000</v>
      </c>
      <c r="O42" s="225"/>
    </row>
    <row r="43" ht="15.0" customHeight="1">
      <c r="A43" s="240" t="s">
        <v>514</v>
      </c>
      <c r="B43" s="228">
        <v>480000.0</v>
      </c>
      <c r="C43" s="235">
        <v>480000.0</v>
      </c>
      <c r="D43" s="235">
        <v>480000.0</v>
      </c>
      <c r="E43" s="228">
        <v>480000.0</v>
      </c>
      <c r="F43" s="228">
        <v>480000.0</v>
      </c>
      <c r="G43" s="228">
        <v>480000.0</v>
      </c>
      <c r="H43" s="228">
        <v>480000.0</v>
      </c>
      <c r="I43" s="228">
        <v>480000.0</v>
      </c>
      <c r="J43" s="228">
        <v>480000.0</v>
      </c>
      <c r="K43" s="228">
        <v>480000.0</v>
      </c>
      <c r="L43" s="228">
        <v>480000.0</v>
      </c>
      <c r="M43" s="228">
        <v>480000.0</v>
      </c>
      <c r="N43" s="224">
        <f t="shared" si="1"/>
        <v>5760000</v>
      </c>
      <c r="O43" s="225"/>
    </row>
    <row r="44" ht="15.0" customHeight="1">
      <c r="A44" s="221" t="s">
        <v>232</v>
      </c>
      <c r="B44" s="223">
        <v>450000.0</v>
      </c>
      <c r="C44" s="230">
        <v>450000.0</v>
      </c>
      <c r="D44" s="230">
        <v>450000.0</v>
      </c>
      <c r="E44" s="223">
        <v>450000.0</v>
      </c>
      <c r="F44" s="223">
        <v>350000.0</v>
      </c>
      <c r="G44" s="223">
        <v>350000.0</v>
      </c>
      <c r="H44" s="223">
        <v>350000.0</v>
      </c>
      <c r="I44" s="223">
        <v>350000.0</v>
      </c>
      <c r="J44" s="223">
        <v>350000.0</v>
      </c>
      <c r="K44" s="223">
        <v>350000.0</v>
      </c>
      <c r="L44" s="223">
        <v>350000.0</v>
      </c>
      <c r="M44" s="223">
        <v>350000.0</v>
      </c>
      <c r="N44" s="224">
        <f t="shared" si="1"/>
        <v>4600000</v>
      </c>
      <c r="O44" s="225"/>
    </row>
    <row r="45" ht="15.0" customHeight="1">
      <c r="A45" s="229" t="s">
        <v>666</v>
      </c>
      <c r="B45" s="227"/>
      <c r="C45" s="222"/>
      <c r="D45" s="222"/>
      <c r="E45" s="227"/>
      <c r="F45" s="223">
        <v>450000.0</v>
      </c>
      <c r="G45" s="223">
        <v>450000.0</v>
      </c>
      <c r="H45" s="227"/>
      <c r="I45" s="227"/>
      <c r="J45" s="227"/>
      <c r="K45" s="227"/>
      <c r="L45" s="227"/>
      <c r="M45" s="227"/>
      <c r="N45" s="224">
        <f t="shared" si="1"/>
        <v>900000</v>
      </c>
      <c r="O45" s="225"/>
    </row>
    <row r="46" ht="15.0" customHeight="1">
      <c r="A46" s="221" t="s">
        <v>667</v>
      </c>
      <c r="B46" s="227"/>
      <c r="C46" s="222"/>
      <c r="D46" s="222"/>
      <c r="E46" s="227"/>
      <c r="F46" s="227"/>
      <c r="G46" s="227"/>
      <c r="H46" s="227"/>
      <c r="I46" s="227"/>
      <c r="J46" s="227"/>
      <c r="K46" s="227"/>
      <c r="L46" s="223">
        <v>96000.0</v>
      </c>
      <c r="M46" s="223">
        <v>480000.0</v>
      </c>
      <c r="N46" s="224">
        <f t="shared" si="1"/>
        <v>576000</v>
      </c>
      <c r="O46" s="225"/>
    </row>
    <row r="47" ht="15.0" customHeight="1">
      <c r="A47" s="226" t="s">
        <v>668</v>
      </c>
      <c r="B47" s="227"/>
      <c r="C47" s="222"/>
      <c r="D47" s="222"/>
      <c r="E47" s="227"/>
      <c r="F47" s="227"/>
      <c r="G47" s="227"/>
      <c r="H47" s="227"/>
      <c r="I47" s="227"/>
      <c r="J47" s="227"/>
      <c r="K47" s="227"/>
      <c r="L47" s="228">
        <v>360000.0</v>
      </c>
      <c r="M47" s="228">
        <v>360000.0</v>
      </c>
      <c r="N47" s="224">
        <f t="shared" si="1"/>
        <v>720000</v>
      </c>
      <c r="O47" s="225"/>
    </row>
    <row r="48" ht="15.0" customHeight="1">
      <c r="A48" s="221" t="s">
        <v>218</v>
      </c>
      <c r="B48" s="223">
        <v>450000.0</v>
      </c>
      <c r="C48" s="230">
        <v>450000.0</v>
      </c>
      <c r="D48" s="230">
        <v>450000.0</v>
      </c>
      <c r="E48" s="223">
        <v>450000.0</v>
      </c>
      <c r="F48" s="223">
        <v>450000.0</v>
      </c>
      <c r="G48" s="223">
        <v>450000.0</v>
      </c>
      <c r="H48" s="223">
        <v>450000.0</v>
      </c>
      <c r="I48" s="223">
        <v>450000.0</v>
      </c>
      <c r="J48" s="223">
        <v>450000.0</v>
      </c>
      <c r="K48" s="223">
        <v>450000.0</v>
      </c>
      <c r="L48" s="223">
        <v>450000.0</v>
      </c>
      <c r="M48" s="223">
        <v>450000.0</v>
      </c>
      <c r="N48" s="224">
        <f t="shared" si="1"/>
        <v>5400000</v>
      </c>
      <c r="O48" s="225"/>
    </row>
    <row r="49" ht="15.0" customHeight="1">
      <c r="A49" s="241" t="s">
        <v>517</v>
      </c>
      <c r="B49" s="227"/>
      <c r="C49" s="242">
        <v>2265000.0</v>
      </c>
      <c r="D49" s="243">
        <v>0.0</v>
      </c>
      <c r="E49" s="231">
        <v>0.0</v>
      </c>
      <c r="F49" s="231">
        <v>0.0</v>
      </c>
      <c r="G49" s="231">
        <v>0.0</v>
      </c>
      <c r="H49" s="231">
        <v>0.0</v>
      </c>
      <c r="I49" s="231">
        <v>0.0</v>
      </c>
      <c r="J49" s="231">
        <v>0.0</v>
      </c>
      <c r="K49" s="244">
        <v>0.0</v>
      </c>
      <c r="L49" s="244">
        <v>0.0</v>
      </c>
      <c r="M49" s="244">
        <v>0.0</v>
      </c>
      <c r="N49" s="224">
        <f t="shared" si="1"/>
        <v>2265000</v>
      </c>
      <c r="O49" s="225"/>
    </row>
    <row r="50" ht="15.0" customHeight="1">
      <c r="A50" s="221" t="s">
        <v>519</v>
      </c>
      <c r="B50" s="223">
        <v>450000.0</v>
      </c>
      <c r="C50" s="230">
        <v>450000.0</v>
      </c>
      <c r="D50" s="230">
        <v>450000.0</v>
      </c>
      <c r="E50" s="223">
        <v>225000.0</v>
      </c>
      <c r="F50" s="223">
        <v>450000.0</v>
      </c>
      <c r="G50" s="223">
        <v>450000.0</v>
      </c>
      <c r="H50" s="223">
        <v>450000.0</v>
      </c>
      <c r="I50" s="223">
        <v>450000.0</v>
      </c>
      <c r="J50" s="223">
        <v>450000.0</v>
      </c>
      <c r="K50" s="223">
        <v>450000.0</v>
      </c>
      <c r="L50" s="223">
        <v>450000.0</v>
      </c>
      <c r="M50" s="223">
        <v>450000.0</v>
      </c>
      <c r="N50" s="224">
        <f t="shared" si="1"/>
        <v>5175000</v>
      </c>
      <c r="O50" s="225"/>
    </row>
    <row r="51" ht="15.0" customHeight="1">
      <c r="A51" s="229" t="s">
        <v>669</v>
      </c>
      <c r="B51" s="227"/>
      <c r="C51" s="222"/>
      <c r="D51" s="222"/>
      <c r="E51" s="227"/>
      <c r="F51" s="223">
        <v>350000.0</v>
      </c>
      <c r="G51" s="223">
        <v>350000.0</v>
      </c>
      <c r="H51" s="223">
        <v>350000.0</v>
      </c>
      <c r="I51" s="223">
        <v>350000.0</v>
      </c>
      <c r="J51" s="227"/>
      <c r="K51" s="223">
        <v>350000.0</v>
      </c>
      <c r="L51" s="227"/>
      <c r="M51" s="227"/>
      <c r="N51" s="224">
        <f t="shared" si="1"/>
        <v>1750000</v>
      </c>
      <c r="O51" s="225"/>
    </row>
    <row r="52" ht="15.0" customHeight="1">
      <c r="A52" s="226" t="s">
        <v>670</v>
      </c>
      <c r="B52" s="227"/>
      <c r="C52" s="222"/>
      <c r="D52" s="222"/>
      <c r="E52" s="227"/>
      <c r="F52" s="228">
        <v>360000.0</v>
      </c>
      <c r="G52" s="228">
        <v>360000.0</v>
      </c>
      <c r="H52" s="228">
        <v>360000.0</v>
      </c>
      <c r="I52" s="228">
        <v>360000.0</v>
      </c>
      <c r="J52" s="228">
        <v>360000.0</v>
      </c>
      <c r="K52" s="228">
        <v>360000.0</v>
      </c>
      <c r="L52" s="228">
        <v>360000.0</v>
      </c>
      <c r="M52" s="228">
        <v>360000.0</v>
      </c>
      <c r="N52" s="224">
        <f t="shared" si="1"/>
        <v>2880000</v>
      </c>
      <c r="O52" s="225"/>
    </row>
    <row r="53" ht="15.0" customHeight="1">
      <c r="A53" s="241" t="s">
        <v>16</v>
      </c>
      <c r="B53" s="245">
        <f t="shared" ref="B53:E53" si="2">SUM(B5:B50)</f>
        <v>20466000</v>
      </c>
      <c r="C53" s="245">
        <f t="shared" si="2"/>
        <v>14345000</v>
      </c>
      <c r="D53" s="245">
        <f t="shared" si="2"/>
        <v>8410000</v>
      </c>
      <c r="E53" s="245">
        <f t="shared" si="2"/>
        <v>8635000</v>
      </c>
      <c r="F53" s="245">
        <f t="shared" ref="F53:M53" si="3">SUM(F5:F52)</f>
        <v>11420000</v>
      </c>
      <c r="G53" s="245">
        <f t="shared" si="3"/>
        <v>10965000</v>
      </c>
      <c r="H53" s="245">
        <f t="shared" si="3"/>
        <v>13215000</v>
      </c>
      <c r="I53" s="245">
        <f t="shared" si="3"/>
        <v>16340000</v>
      </c>
      <c r="J53" s="245">
        <f t="shared" si="3"/>
        <v>9500000</v>
      </c>
      <c r="K53" s="245">
        <f t="shared" si="3"/>
        <v>10385000</v>
      </c>
      <c r="L53" s="245">
        <f t="shared" si="3"/>
        <v>10651000</v>
      </c>
      <c r="M53" s="245">
        <f t="shared" si="3"/>
        <v>10120000</v>
      </c>
      <c r="N53" s="246">
        <f t="shared" si="1"/>
        <v>144452000</v>
      </c>
      <c r="O53" s="247">
        <f t="shared" ref="O53:O54" si="4">N53/12</f>
        <v>12037666.67</v>
      </c>
    </row>
    <row r="54" ht="15.0" customHeight="1">
      <c r="A54" s="248"/>
      <c r="B54" s="249"/>
      <c r="C54" s="249"/>
      <c r="D54" s="249"/>
      <c r="E54" s="249"/>
      <c r="F54" s="249"/>
      <c r="G54" s="249"/>
      <c r="H54" s="249"/>
      <c r="I54" s="249"/>
      <c r="J54" s="249"/>
      <c r="K54" s="249"/>
      <c r="L54" s="249"/>
      <c r="M54" s="249"/>
      <c r="N54" s="250">
        <f>N53+N60</f>
        <v>170159500</v>
      </c>
      <c r="O54" s="247">
        <f t="shared" si="4"/>
        <v>14179958.33</v>
      </c>
    </row>
    <row r="55" ht="15.0" customHeight="1">
      <c r="A55" s="248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51"/>
      <c r="M55" s="252"/>
      <c r="N55" s="253"/>
      <c r="O55" s="254"/>
    </row>
    <row r="56" ht="15.0" customHeight="1">
      <c r="A56" s="255" t="s">
        <v>671</v>
      </c>
      <c r="B56" s="256">
        <f t="shared" ref="B56:E56" si="5">B53-(B21+B22+B31+B43+B28)</f>
        <v>14106000</v>
      </c>
      <c r="C56" s="256">
        <f t="shared" si="5"/>
        <v>12985000</v>
      </c>
      <c r="D56" s="256">
        <f t="shared" si="5"/>
        <v>6650000</v>
      </c>
      <c r="E56" s="256">
        <f t="shared" si="5"/>
        <v>6875000</v>
      </c>
      <c r="F56" s="256">
        <f t="shared" ref="F56:G56" si="6">F53-(F21+F22+F31+F43+F28+F52)</f>
        <v>9700000</v>
      </c>
      <c r="G56" s="256">
        <f t="shared" si="6"/>
        <v>9725000</v>
      </c>
      <c r="H56" s="256">
        <f>H53-(H21+H22+H31+H43+H28+H6+H52)</f>
        <v>11495000</v>
      </c>
      <c r="I56" s="256">
        <f t="shared" ref="I56:M56" si="7">I53-(I21+I22+I31+I43+I28+I6+I52+I24)</f>
        <v>13900000</v>
      </c>
      <c r="J56" s="256">
        <f t="shared" si="7"/>
        <v>7460000</v>
      </c>
      <c r="K56" s="256">
        <f t="shared" si="7"/>
        <v>8345000</v>
      </c>
      <c r="L56" s="256">
        <f t="shared" si="7"/>
        <v>8611000</v>
      </c>
      <c r="M56" s="256">
        <f t="shared" si="7"/>
        <v>8080000</v>
      </c>
    </row>
    <row r="57" ht="15.0" customHeight="1">
      <c r="A57" s="255" t="s">
        <v>672</v>
      </c>
      <c r="B57" s="256">
        <f t="shared" ref="B57:E57" si="8">(B21+B22+B31+B43+B28)/4000</f>
        <v>1590</v>
      </c>
      <c r="C57" s="256">
        <f t="shared" si="8"/>
        <v>340</v>
      </c>
      <c r="D57" s="256">
        <f t="shared" si="8"/>
        <v>440</v>
      </c>
      <c r="E57" s="256">
        <f t="shared" si="8"/>
        <v>440</v>
      </c>
      <c r="F57" s="256">
        <f t="shared" ref="F57:G57" si="9">(F21+F22+F31+F43+F28+F52)/4000</f>
        <v>430</v>
      </c>
      <c r="G57" s="256">
        <f t="shared" si="9"/>
        <v>310</v>
      </c>
      <c r="H57" s="256">
        <f>(H21+H22+H31+H43+H28+H52+H6)/4000</f>
        <v>430</v>
      </c>
      <c r="I57" s="256">
        <f t="shared" ref="I57:M57" si="10">(I21+I22+I31+I43+I28+I52+I6+I24)/4000</f>
        <v>610</v>
      </c>
      <c r="J57" s="256">
        <f t="shared" si="10"/>
        <v>510</v>
      </c>
      <c r="K57" s="256">
        <f t="shared" si="10"/>
        <v>510</v>
      </c>
      <c r="L57" s="256">
        <f t="shared" si="10"/>
        <v>510</v>
      </c>
      <c r="M57" s="256">
        <f t="shared" si="10"/>
        <v>510</v>
      </c>
      <c r="N57" s="72">
        <f t="shared" ref="N57:N58" si="11">SUM(B57:M57)</f>
        <v>6630</v>
      </c>
      <c r="O57" s="45">
        <v>2246.0</v>
      </c>
      <c r="P57" s="72">
        <f>O57+N57</f>
        <v>8876</v>
      </c>
    </row>
    <row r="58" ht="15.0" customHeight="1">
      <c r="A58" s="255" t="s">
        <v>673</v>
      </c>
      <c r="B58" s="257">
        <v>170000.0</v>
      </c>
      <c r="C58" s="257">
        <v>900000.0</v>
      </c>
      <c r="D58" s="257">
        <v>570000.0</v>
      </c>
      <c r="E58" s="257">
        <v>700000.0</v>
      </c>
      <c r="F58" s="257">
        <v>1225000.0</v>
      </c>
      <c r="G58" s="257">
        <v>950000.0</v>
      </c>
      <c r="H58" s="257">
        <v>1650000.0</v>
      </c>
      <c r="I58" s="257">
        <v>769000.0</v>
      </c>
      <c r="J58" s="257">
        <v>875000.0</v>
      </c>
      <c r="K58" s="257">
        <v>1400000.0</v>
      </c>
      <c r="L58" s="257">
        <v>850000.0</v>
      </c>
      <c r="M58" s="257">
        <v>550000.0</v>
      </c>
      <c r="N58" s="199">
        <f t="shared" si="11"/>
        <v>10609000</v>
      </c>
    </row>
    <row r="59" ht="15.0" customHeight="1">
      <c r="A59" s="258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</row>
    <row r="60" ht="15.0" customHeight="1">
      <c r="A60" s="255" t="s">
        <v>674</v>
      </c>
      <c r="B60" s="257">
        <v>3756000.0</v>
      </c>
      <c r="C60" s="257">
        <v>3056000.0</v>
      </c>
      <c r="D60" s="257">
        <v>2877000.0</v>
      </c>
      <c r="E60" s="257">
        <v>2150000.0</v>
      </c>
      <c r="F60" s="257">
        <v>1524000.0</v>
      </c>
      <c r="G60" s="257">
        <v>1937000.0</v>
      </c>
      <c r="H60" s="257">
        <v>2438000.0</v>
      </c>
      <c r="I60" s="257">
        <v>2036500.0</v>
      </c>
      <c r="J60" s="257">
        <v>1664000.0</v>
      </c>
      <c r="K60" s="257">
        <v>1175000.0</v>
      </c>
      <c r="L60" s="257">
        <v>1971000.0</v>
      </c>
      <c r="M60" s="257">
        <v>1123000.0</v>
      </c>
      <c r="N60" s="199">
        <f>SUM(B60:M60)</f>
        <v>25707500</v>
      </c>
    </row>
    <row r="61" ht="15.0" customHeight="1">
      <c r="A61" s="255"/>
      <c r="B61" s="257">
        <v>1990000.0</v>
      </c>
      <c r="C61" s="257">
        <v>1707500.0</v>
      </c>
      <c r="D61" s="257">
        <v>1365000.0</v>
      </c>
      <c r="E61" s="257"/>
      <c r="F61" s="257"/>
      <c r="G61" s="257"/>
      <c r="H61" s="256"/>
      <c r="I61" s="256"/>
      <c r="J61" s="256"/>
      <c r="K61" s="256"/>
      <c r="L61" s="256"/>
      <c r="M61" s="256"/>
    </row>
    <row r="62" ht="15.0" customHeight="1">
      <c r="A62" s="255" t="s">
        <v>253</v>
      </c>
      <c r="B62" s="256">
        <f t="shared" ref="B62:D62" si="12">B53+B58+B60-B61</f>
        <v>22402000</v>
      </c>
      <c r="C62" s="256">
        <f t="shared" si="12"/>
        <v>16593500</v>
      </c>
      <c r="D62" s="256">
        <f t="shared" si="12"/>
        <v>10492000</v>
      </c>
      <c r="E62" s="256">
        <f t="shared" ref="E62:M62" si="13">E53+E58+E60</f>
        <v>11485000</v>
      </c>
      <c r="F62" s="256">
        <f t="shared" si="13"/>
        <v>14169000</v>
      </c>
      <c r="G62" s="256">
        <f t="shared" si="13"/>
        <v>13852000</v>
      </c>
      <c r="H62" s="256">
        <f t="shared" si="13"/>
        <v>17303000</v>
      </c>
      <c r="I62" s="256">
        <f t="shared" si="13"/>
        <v>19145500</v>
      </c>
      <c r="J62" s="256">
        <f t="shared" si="13"/>
        <v>12039000</v>
      </c>
      <c r="K62" s="256">
        <f t="shared" si="13"/>
        <v>12960000</v>
      </c>
      <c r="L62" s="256">
        <f t="shared" si="13"/>
        <v>13472000</v>
      </c>
      <c r="M62" s="256">
        <f t="shared" si="13"/>
        <v>11793000</v>
      </c>
      <c r="N62" s="199">
        <f>SUM(B62:M62)</f>
        <v>175706000</v>
      </c>
    </row>
    <row r="63" ht="15.0" customHeight="1">
      <c r="A63" s="258"/>
      <c r="B63" s="258"/>
      <c r="C63" s="258"/>
      <c r="D63" s="258"/>
      <c r="E63" s="258"/>
      <c r="F63" s="258"/>
      <c r="G63" s="258"/>
      <c r="H63" s="258"/>
      <c r="I63" s="258"/>
      <c r="J63" s="258"/>
      <c r="K63" s="258"/>
      <c r="L63" s="258"/>
      <c r="M63" s="258"/>
    </row>
    <row r="64" ht="15.0" customHeight="1">
      <c r="A64" s="258"/>
      <c r="B64" s="258"/>
      <c r="C64" s="258"/>
      <c r="D64" s="258"/>
      <c r="E64" s="260"/>
      <c r="F64" s="258"/>
      <c r="G64" s="258"/>
      <c r="H64" s="258"/>
      <c r="I64" s="258"/>
      <c r="J64" s="258"/>
      <c r="K64" s="258"/>
      <c r="L64" s="258"/>
      <c r="M64" s="258"/>
    </row>
    <row r="65" ht="15.0" customHeight="1">
      <c r="A65" s="258"/>
      <c r="B65" s="258"/>
      <c r="C65" s="258"/>
      <c r="D65" s="258"/>
      <c r="E65" s="260"/>
      <c r="F65" s="258"/>
      <c r="G65" s="258"/>
      <c r="H65" s="258"/>
      <c r="I65" s="258"/>
      <c r="J65" s="258"/>
      <c r="K65" s="258"/>
      <c r="L65" s="258"/>
      <c r="M65" s="258"/>
    </row>
  </sheetData>
  <dataValidations>
    <dataValidation type="custom" allowBlank="1" showDropDown="1" sqref="B5:L55 N5:N55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31" t="s">
        <v>640</v>
      </c>
      <c r="B1" s="117"/>
      <c r="C1" s="261"/>
      <c r="D1" s="261"/>
      <c r="E1" s="117"/>
      <c r="F1" s="117"/>
      <c r="G1" s="117"/>
      <c r="H1" s="117"/>
      <c r="I1" s="117"/>
      <c r="J1" s="117"/>
      <c r="K1" s="117"/>
      <c r="L1" s="117"/>
      <c r="M1" s="117"/>
    </row>
    <row r="2">
      <c r="A2" s="117"/>
      <c r="B2" s="117"/>
      <c r="C2" s="261"/>
      <c r="D2" s="262" t="s">
        <v>675</v>
      </c>
      <c r="E2" s="117"/>
      <c r="F2" s="117"/>
      <c r="G2" s="117"/>
      <c r="H2" s="117"/>
      <c r="I2" s="117"/>
      <c r="J2" s="117"/>
      <c r="K2" s="117"/>
      <c r="L2" s="117"/>
      <c r="M2" s="117"/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31"/>
      <c r="M3" s="117"/>
    </row>
    <row r="4" ht="15.0" customHeight="1">
      <c r="A4" s="218" t="s">
        <v>1</v>
      </c>
      <c r="B4" s="218" t="s">
        <v>30</v>
      </c>
      <c r="C4" s="218" t="s">
        <v>31</v>
      </c>
      <c r="D4" s="218" t="s">
        <v>32</v>
      </c>
      <c r="E4" s="218" t="s">
        <v>33</v>
      </c>
      <c r="F4" s="218" t="s">
        <v>34</v>
      </c>
      <c r="G4" s="218" t="s">
        <v>35</v>
      </c>
      <c r="H4" s="218" t="s">
        <v>36</v>
      </c>
      <c r="I4" s="218" t="s">
        <v>2</v>
      </c>
      <c r="J4" s="218" t="s">
        <v>3</v>
      </c>
      <c r="K4" s="218" t="s">
        <v>4</v>
      </c>
      <c r="L4" s="218" t="s">
        <v>5</v>
      </c>
      <c r="M4" s="218" t="s">
        <v>6</v>
      </c>
    </row>
    <row r="5" ht="15.0" customHeight="1">
      <c r="A5" s="221" t="s">
        <v>219</v>
      </c>
      <c r="B5" s="230">
        <v>0.0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</row>
    <row r="6" ht="15.0" customHeight="1">
      <c r="A6" s="221" t="s">
        <v>676</v>
      </c>
      <c r="B6" s="222"/>
      <c r="C6" s="223">
        <v>405000.0</v>
      </c>
      <c r="D6" s="223"/>
      <c r="E6" s="223"/>
      <c r="F6" s="223"/>
      <c r="G6" s="223"/>
      <c r="H6" s="223"/>
      <c r="I6" s="223"/>
      <c r="J6" s="223"/>
      <c r="K6" s="223"/>
      <c r="L6" s="223"/>
      <c r="M6" s="223"/>
    </row>
    <row r="7" ht="15.0" customHeight="1">
      <c r="A7" s="263" t="s">
        <v>643</v>
      </c>
      <c r="B7" s="264">
        <v>445000.0</v>
      </c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</row>
    <row r="8" ht="15.0" customHeight="1">
      <c r="A8" s="221" t="s">
        <v>648</v>
      </c>
      <c r="B8" s="223">
        <v>350000.0</v>
      </c>
      <c r="C8" s="230"/>
      <c r="D8" s="230"/>
      <c r="E8" s="223"/>
      <c r="F8" s="223"/>
      <c r="G8" s="223"/>
      <c r="H8" s="223"/>
      <c r="I8" s="223"/>
      <c r="J8" s="223"/>
      <c r="K8" s="223"/>
      <c r="L8" s="223"/>
      <c r="M8" s="223"/>
    </row>
    <row r="9" ht="15.0" customHeight="1">
      <c r="A9" s="221" t="s">
        <v>677</v>
      </c>
      <c r="B9" s="227"/>
      <c r="C9" s="230">
        <v>315000.0</v>
      </c>
      <c r="D9" s="230"/>
      <c r="E9" s="223"/>
      <c r="F9" s="223"/>
      <c r="G9" s="223"/>
      <c r="H9" s="223"/>
      <c r="I9" s="223"/>
      <c r="J9" s="223"/>
      <c r="K9" s="223"/>
      <c r="L9" s="223"/>
      <c r="M9" s="223"/>
    </row>
    <row r="10" ht="15.0" customHeight="1">
      <c r="A10" s="221" t="s">
        <v>649</v>
      </c>
      <c r="B10" s="223">
        <v>350000.0</v>
      </c>
      <c r="C10" s="230"/>
      <c r="D10" s="230"/>
      <c r="E10" s="223"/>
      <c r="F10" s="223"/>
      <c r="G10" s="223"/>
      <c r="H10" s="223"/>
      <c r="I10" s="223"/>
      <c r="J10" s="223"/>
      <c r="K10" s="223"/>
      <c r="L10" s="223"/>
      <c r="M10" s="223"/>
    </row>
    <row r="11" ht="15.0" customHeight="1">
      <c r="A11" s="221" t="s">
        <v>678</v>
      </c>
      <c r="B11" s="223">
        <v>150000.0</v>
      </c>
      <c r="C11" s="230"/>
      <c r="D11" s="230"/>
      <c r="E11" s="223"/>
      <c r="F11" s="223"/>
      <c r="G11" s="223"/>
      <c r="H11" s="223"/>
      <c r="I11" s="223"/>
      <c r="J11" s="223"/>
      <c r="K11" s="223"/>
      <c r="L11" s="223"/>
      <c r="M11" s="223"/>
    </row>
    <row r="12" ht="15.0" customHeight="1">
      <c r="A12" s="229" t="s">
        <v>651</v>
      </c>
      <c r="B12" s="227" t="s">
        <v>679</v>
      </c>
      <c r="C12" s="222"/>
      <c r="D12" s="230"/>
      <c r="E12" s="223"/>
      <c r="F12" s="223"/>
      <c r="G12" s="223"/>
      <c r="H12" s="223"/>
      <c r="I12" s="223"/>
      <c r="J12" s="223"/>
      <c r="K12" s="223"/>
      <c r="L12" s="223"/>
      <c r="M12" s="223"/>
    </row>
    <row r="13" ht="15.0" customHeight="1">
      <c r="A13" s="221" t="s">
        <v>53</v>
      </c>
      <c r="B13" s="223">
        <v>350000.0</v>
      </c>
      <c r="C13" s="230">
        <v>350000.0</v>
      </c>
      <c r="D13" s="230"/>
      <c r="E13" s="223"/>
      <c r="F13" s="223"/>
      <c r="G13" s="223"/>
      <c r="H13" s="223"/>
      <c r="I13" s="223"/>
      <c r="J13" s="223"/>
      <c r="K13" s="223"/>
      <c r="L13" s="223"/>
      <c r="M13" s="223"/>
    </row>
    <row r="14" ht="15.0" customHeight="1">
      <c r="A14" s="241" t="s">
        <v>490</v>
      </c>
      <c r="B14" s="244">
        <v>530000.0</v>
      </c>
      <c r="C14" s="242">
        <v>530000.0</v>
      </c>
      <c r="D14" s="230"/>
      <c r="E14" s="223"/>
      <c r="F14" s="223"/>
      <c r="G14" s="223"/>
      <c r="H14" s="223"/>
      <c r="I14" s="223"/>
      <c r="J14" s="223"/>
      <c r="K14" s="223"/>
      <c r="L14" s="223"/>
      <c r="M14" s="223"/>
    </row>
    <row r="15" ht="15.0" customHeight="1">
      <c r="A15" s="221" t="s">
        <v>653</v>
      </c>
      <c r="B15" s="223">
        <v>0.0</v>
      </c>
      <c r="C15" s="230"/>
      <c r="D15" s="230"/>
      <c r="E15" s="223"/>
      <c r="F15" s="223"/>
      <c r="G15" s="223"/>
      <c r="H15" s="223"/>
      <c r="I15" s="223"/>
      <c r="J15" s="223"/>
      <c r="K15" s="223"/>
      <c r="L15" s="223"/>
      <c r="M15" s="223"/>
    </row>
    <row r="16" ht="15.0" customHeight="1">
      <c r="A16" s="263" t="s">
        <v>226</v>
      </c>
      <c r="B16" s="265">
        <v>4434000.0</v>
      </c>
      <c r="C16" s="265">
        <v>0.0</v>
      </c>
      <c r="D16" s="265">
        <v>0.0</v>
      </c>
      <c r="E16" s="265">
        <v>0.0</v>
      </c>
      <c r="F16" s="265">
        <v>0.0</v>
      </c>
      <c r="G16" s="265">
        <v>0.0</v>
      </c>
      <c r="H16" s="265">
        <v>0.0</v>
      </c>
      <c r="I16" s="265">
        <v>0.0</v>
      </c>
      <c r="J16" s="265">
        <v>0.0</v>
      </c>
      <c r="K16" s="265">
        <v>0.0</v>
      </c>
      <c r="L16" s="265">
        <v>0.0</v>
      </c>
      <c r="M16" s="265">
        <v>0.0</v>
      </c>
    </row>
    <row r="17" ht="15.0" customHeight="1">
      <c r="A17" s="263" t="s">
        <v>214</v>
      </c>
      <c r="B17" s="266">
        <v>435000.0</v>
      </c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</row>
    <row r="18" ht="15.0" customHeight="1">
      <c r="A18" s="221" t="s">
        <v>498</v>
      </c>
      <c r="B18" s="223">
        <v>450000.0</v>
      </c>
      <c r="C18" s="223">
        <v>450000.0</v>
      </c>
      <c r="D18" s="223"/>
      <c r="E18" s="223"/>
      <c r="F18" s="223"/>
      <c r="G18" s="223"/>
      <c r="H18" s="223"/>
      <c r="I18" s="223"/>
      <c r="J18" s="223"/>
      <c r="K18" s="223"/>
      <c r="L18" s="223"/>
      <c r="M18" s="223"/>
    </row>
    <row r="19" ht="15.0" customHeight="1">
      <c r="A19" s="263" t="s">
        <v>654</v>
      </c>
      <c r="B19" s="265">
        <v>445000.0</v>
      </c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</row>
    <row r="20" ht="15.0" customHeight="1">
      <c r="A20" s="221" t="s">
        <v>680</v>
      </c>
      <c r="B20" s="230">
        <v>225000.0</v>
      </c>
      <c r="C20" s="223">
        <v>450000.0</v>
      </c>
      <c r="D20" s="223"/>
      <c r="E20" s="223"/>
      <c r="F20" s="223"/>
      <c r="G20" s="223"/>
      <c r="H20" s="223"/>
      <c r="I20" s="223"/>
      <c r="J20" s="223"/>
      <c r="K20" s="223"/>
      <c r="L20" s="233"/>
      <c r="M20" s="223"/>
    </row>
    <row r="21" ht="15.0" customHeight="1">
      <c r="A21" s="221" t="s">
        <v>229</v>
      </c>
      <c r="B21" s="230">
        <v>350000.0</v>
      </c>
      <c r="C21" s="223"/>
      <c r="D21" s="223"/>
      <c r="E21" s="223"/>
      <c r="F21" s="223"/>
      <c r="G21" s="223"/>
      <c r="H21" s="223"/>
      <c r="I21" s="223"/>
      <c r="J21" s="223"/>
      <c r="K21" s="223"/>
      <c r="L21" s="233"/>
      <c r="M21" s="223"/>
    </row>
    <row r="22" ht="15.0" customHeight="1">
      <c r="A22" s="221" t="s">
        <v>655</v>
      </c>
      <c r="B22" s="230">
        <v>405000.0</v>
      </c>
      <c r="C22" s="223">
        <v>405000.0</v>
      </c>
      <c r="D22" s="223"/>
      <c r="E22" s="223"/>
      <c r="F22" s="223"/>
      <c r="G22" s="223"/>
      <c r="H22" s="223"/>
      <c r="I22" s="223"/>
      <c r="J22" s="223"/>
      <c r="K22" s="223"/>
      <c r="L22" s="233"/>
      <c r="M22" s="223"/>
    </row>
    <row r="23" ht="15.0" customHeight="1">
      <c r="A23" s="263" t="s">
        <v>681</v>
      </c>
      <c r="B23" s="264">
        <v>556000.0</v>
      </c>
      <c r="C23" s="265">
        <v>543000.0</v>
      </c>
      <c r="D23" s="265"/>
      <c r="E23" s="265"/>
      <c r="F23" s="265"/>
      <c r="G23" s="265"/>
      <c r="H23" s="265"/>
      <c r="I23" s="265"/>
      <c r="J23" s="265"/>
      <c r="K23" s="265"/>
      <c r="L23" s="267"/>
      <c r="M23" s="265"/>
    </row>
    <row r="24" ht="15.0" customHeight="1">
      <c r="A24" s="236" t="s">
        <v>657</v>
      </c>
      <c r="B24" s="230">
        <v>450000.0</v>
      </c>
      <c r="C24" s="223">
        <v>90000.0</v>
      </c>
      <c r="D24" s="230"/>
      <c r="E24" s="223"/>
      <c r="F24" s="223"/>
      <c r="G24" s="223"/>
      <c r="H24" s="223"/>
      <c r="I24" s="223"/>
      <c r="J24" s="223"/>
      <c r="K24" s="223"/>
      <c r="L24" s="233"/>
      <c r="M24" s="223"/>
    </row>
    <row r="25" ht="15.0" customHeight="1">
      <c r="A25" s="236" t="s">
        <v>658</v>
      </c>
      <c r="B25" s="230">
        <v>315000.0</v>
      </c>
      <c r="C25" s="223">
        <v>315000.0</v>
      </c>
      <c r="D25" s="230"/>
      <c r="E25" s="223"/>
      <c r="F25" s="223"/>
      <c r="G25" s="223"/>
      <c r="H25" s="223"/>
      <c r="I25" s="223"/>
      <c r="J25" s="223"/>
      <c r="K25" s="223"/>
      <c r="L25" s="233"/>
      <c r="M25" s="223"/>
    </row>
    <row r="26" ht="15.0" customHeight="1">
      <c r="A26" s="236" t="s">
        <v>682</v>
      </c>
      <c r="B26" s="230">
        <v>2600000.0</v>
      </c>
      <c r="C26" s="223">
        <v>0.0</v>
      </c>
      <c r="D26" s="230">
        <v>0.0</v>
      </c>
      <c r="E26" s="223">
        <v>0.0</v>
      </c>
      <c r="F26" s="223">
        <v>0.0</v>
      </c>
      <c r="G26" s="223">
        <v>0.0</v>
      </c>
      <c r="H26" s="223"/>
      <c r="I26" s="223"/>
      <c r="J26" s="223"/>
      <c r="K26" s="223"/>
      <c r="L26" s="233"/>
      <c r="M26" s="223"/>
    </row>
    <row r="27" ht="15.0" customHeight="1">
      <c r="A27" s="221" t="s">
        <v>508</v>
      </c>
      <c r="B27" s="223">
        <v>450000.0</v>
      </c>
      <c r="C27" s="230">
        <v>450000.0</v>
      </c>
      <c r="D27" s="230"/>
      <c r="E27" s="223"/>
      <c r="F27" s="223"/>
      <c r="G27" s="223"/>
      <c r="H27" s="223"/>
      <c r="I27" s="223"/>
      <c r="J27" s="223"/>
      <c r="K27" s="223"/>
      <c r="L27" s="223"/>
      <c r="M27" s="223"/>
    </row>
    <row r="28" ht="15.0" customHeight="1">
      <c r="A28" s="221" t="s">
        <v>659</v>
      </c>
      <c r="B28" s="223">
        <v>225000.0</v>
      </c>
      <c r="C28" s="230">
        <v>1320000.0</v>
      </c>
      <c r="D28" s="230">
        <v>0.0</v>
      </c>
      <c r="E28" s="223">
        <v>0.0</v>
      </c>
      <c r="F28" s="223"/>
      <c r="G28" s="223"/>
      <c r="H28" s="223"/>
      <c r="I28" s="223"/>
      <c r="J28" s="223"/>
      <c r="K28" s="223"/>
      <c r="L28" s="223"/>
      <c r="M28" s="223"/>
    </row>
    <row r="29" ht="15.0" customHeight="1">
      <c r="A29" s="221" t="s">
        <v>660</v>
      </c>
      <c r="B29" s="223">
        <v>405000.0</v>
      </c>
      <c r="C29" s="230">
        <v>405000.0</v>
      </c>
      <c r="D29" s="230"/>
      <c r="E29" s="223"/>
      <c r="F29" s="223"/>
      <c r="G29" s="223"/>
      <c r="H29" s="223"/>
      <c r="I29" s="223"/>
      <c r="J29" s="223"/>
      <c r="K29" s="223"/>
      <c r="L29" s="223"/>
      <c r="M29" s="223"/>
    </row>
    <row r="30" ht="15.0" customHeight="1">
      <c r="A30" s="221" t="s">
        <v>510</v>
      </c>
      <c r="B30" s="223">
        <v>1320000.0</v>
      </c>
      <c r="C30" s="230">
        <v>0.0</v>
      </c>
      <c r="D30" s="230">
        <v>0.0</v>
      </c>
      <c r="E30" s="223"/>
      <c r="F30" s="223"/>
      <c r="G30" s="223"/>
      <c r="H30" s="223"/>
      <c r="I30" s="223"/>
      <c r="J30" s="223"/>
      <c r="K30" s="223"/>
      <c r="L30" s="223"/>
      <c r="M30" s="223"/>
    </row>
    <row r="31" ht="15.0" customHeight="1">
      <c r="A31" s="221" t="s">
        <v>661</v>
      </c>
      <c r="B31" s="223">
        <v>450000.0</v>
      </c>
      <c r="C31" s="230">
        <v>450000.0</v>
      </c>
      <c r="D31" s="230"/>
      <c r="E31" s="223"/>
      <c r="F31" s="223"/>
      <c r="G31" s="223"/>
      <c r="H31" s="223"/>
      <c r="I31" s="223"/>
      <c r="J31" s="223"/>
      <c r="K31" s="223"/>
      <c r="L31" s="223"/>
      <c r="M31" s="223"/>
    </row>
    <row r="32" ht="15.0" customHeight="1">
      <c r="A32" s="221" t="s">
        <v>662</v>
      </c>
      <c r="B32" s="223">
        <v>315000.0</v>
      </c>
      <c r="C32" s="230">
        <v>315000.0</v>
      </c>
      <c r="D32" s="230"/>
      <c r="E32" s="223"/>
      <c r="F32" s="223"/>
      <c r="G32" s="223"/>
      <c r="H32" s="223"/>
      <c r="I32" s="223"/>
      <c r="J32" s="223"/>
      <c r="K32" s="223"/>
      <c r="L32" s="223"/>
      <c r="M32" s="223"/>
    </row>
    <row r="33" ht="15.0" customHeight="1">
      <c r="A33" s="221" t="s">
        <v>663</v>
      </c>
      <c r="B33" s="223">
        <v>350000.0</v>
      </c>
      <c r="C33" s="230"/>
      <c r="D33" s="230"/>
      <c r="E33" s="223"/>
      <c r="F33" s="223"/>
      <c r="G33" s="223"/>
      <c r="H33" s="223"/>
      <c r="I33" s="223"/>
      <c r="J33" s="223"/>
      <c r="K33" s="223"/>
      <c r="L33" s="223"/>
      <c r="M33" s="223"/>
    </row>
    <row r="34" ht="15.0" customHeight="1">
      <c r="A34" s="241" t="s">
        <v>235</v>
      </c>
      <c r="B34" s="244">
        <v>530000.0</v>
      </c>
      <c r="C34" s="230"/>
      <c r="D34" s="230"/>
      <c r="E34" s="223"/>
      <c r="F34" s="223"/>
      <c r="G34" s="223"/>
      <c r="H34" s="223"/>
      <c r="I34" s="223"/>
      <c r="J34" s="223"/>
      <c r="K34" s="223"/>
      <c r="L34" s="223"/>
      <c r="M34" s="223"/>
    </row>
    <row r="35" ht="15.0" customHeight="1">
      <c r="A35" s="268" t="s">
        <v>514</v>
      </c>
      <c r="B35" s="265">
        <v>452000.0</v>
      </c>
      <c r="C35" s="264">
        <v>435000.0</v>
      </c>
      <c r="D35" s="264"/>
      <c r="E35" s="265"/>
      <c r="F35" s="265"/>
      <c r="G35" s="265"/>
      <c r="H35" s="265"/>
      <c r="I35" s="265"/>
      <c r="J35" s="265"/>
      <c r="K35" s="265"/>
      <c r="L35" s="265"/>
      <c r="M35" s="265"/>
    </row>
    <row r="36" ht="15.0" customHeight="1">
      <c r="A36" s="221" t="s">
        <v>232</v>
      </c>
      <c r="B36" s="223">
        <v>350000.0</v>
      </c>
      <c r="C36" s="230">
        <v>350000.0</v>
      </c>
      <c r="D36" s="230"/>
      <c r="E36" s="223"/>
      <c r="F36" s="223"/>
      <c r="G36" s="223"/>
      <c r="H36" s="223"/>
      <c r="I36" s="223"/>
      <c r="J36" s="223"/>
      <c r="K36" s="223"/>
      <c r="L36" s="223"/>
      <c r="M36" s="223"/>
    </row>
    <row r="37" ht="15.0" customHeight="1">
      <c r="A37" s="263" t="s">
        <v>667</v>
      </c>
      <c r="B37" s="265">
        <v>452000.0</v>
      </c>
      <c r="C37" s="264">
        <v>435000.0</v>
      </c>
      <c r="D37" s="264"/>
      <c r="E37" s="265"/>
      <c r="F37" s="265"/>
      <c r="G37" s="265"/>
      <c r="H37" s="265"/>
      <c r="I37" s="265"/>
      <c r="J37" s="265"/>
      <c r="K37" s="265"/>
      <c r="L37" s="265"/>
      <c r="M37" s="265"/>
    </row>
    <row r="38" ht="15.0" customHeight="1">
      <c r="A38" s="263" t="s">
        <v>668</v>
      </c>
      <c r="B38" s="265">
        <v>331000.0</v>
      </c>
      <c r="C38" s="264"/>
      <c r="D38" s="264"/>
      <c r="E38" s="265"/>
      <c r="F38" s="265"/>
      <c r="G38" s="265"/>
      <c r="H38" s="265"/>
      <c r="I38" s="265"/>
      <c r="J38" s="265"/>
      <c r="K38" s="265"/>
      <c r="L38" s="265"/>
      <c r="M38" s="265"/>
    </row>
    <row r="39" ht="15.0" customHeight="1">
      <c r="A39" s="221" t="s">
        <v>218</v>
      </c>
      <c r="B39" s="223">
        <v>450000.0</v>
      </c>
      <c r="C39" s="230">
        <v>450000.0</v>
      </c>
      <c r="D39" s="230"/>
      <c r="E39" s="223"/>
      <c r="F39" s="223"/>
      <c r="G39" s="223"/>
      <c r="H39" s="223"/>
      <c r="I39" s="223"/>
      <c r="J39" s="223"/>
      <c r="K39" s="223"/>
      <c r="L39" s="223"/>
      <c r="M39" s="223"/>
    </row>
    <row r="40" ht="15.0" customHeight="1">
      <c r="A40" s="221" t="s">
        <v>519</v>
      </c>
      <c r="B40" s="223">
        <v>450000.0</v>
      </c>
      <c r="C40" s="269">
        <v>450000.0</v>
      </c>
      <c r="D40" s="230"/>
      <c r="E40" s="223"/>
      <c r="F40" s="223"/>
      <c r="G40" s="223"/>
      <c r="H40" s="223"/>
      <c r="I40" s="223"/>
      <c r="J40" s="223"/>
      <c r="K40" s="223"/>
      <c r="L40" s="223"/>
      <c r="M40" s="223"/>
    </row>
    <row r="41" ht="15.0" customHeight="1">
      <c r="A41" s="241" t="s">
        <v>683</v>
      </c>
      <c r="B41" s="227"/>
      <c r="C41" s="242">
        <v>530000.0</v>
      </c>
      <c r="D41" s="230"/>
      <c r="E41" s="223"/>
      <c r="F41" s="223"/>
      <c r="G41" s="223"/>
      <c r="H41" s="223"/>
      <c r="I41" s="223"/>
      <c r="J41" s="223"/>
      <c r="K41" s="223"/>
      <c r="L41" s="223"/>
      <c r="M41" s="223"/>
    </row>
    <row r="42" ht="15.0" customHeight="1">
      <c r="A42" s="263" t="s">
        <v>670</v>
      </c>
      <c r="B42" s="265">
        <v>332000.0</v>
      </c>
      <c r="C42" s="264"/>
      <c r="D42" s="264"/>
      <c r="E42" s="265"/>
      <c r="F42" s="265"/>
      <c r="G42" s="265"/>
      <c r="H42" s="265"/>
      <c r="I42" s="265"/>
      <c r="J42" s="265"/>
      <c r="K42" s="265"/>
      <c r="L42" s="265"/>
      <c r="M42" s="265"/>
    </row>
    <row r="43" ht="15.0" customHeight="1">
      <c r="A43" s="241" t="s">
        <v>16</v>
      </c>
      <c r="B43" s="245">
        <f>SUM(B5:B42)</f>
        <v>19702000</v>
      </c>
      <c r="C43" s="245">
        <f t="shared" ref="C43:E43" si="1">SUM(C5:C40)</f>
        <v>8913000</v>
      </c>
      <c r="D43" s="245">
        <f t="shared" si="1"/>
        <v>0</v>
      </c>
      <c r="E43" s="245">
        <f t="shared" si="1"/>
        <v>0</v>
      </c>
      <c r="F43" s="245">
        <f t="shared" ref="F43:M43" si="2">SUM(F5:F42)</f>
        <v>0</v>
      </c>
      <c r="G43" s="245">
        <f t="shared" si="2"/>
        <v>0</v>
      </c>
      <c r="H43" s="245">
        <f t="shared" si="2"/>
        <v>0</v>
      </c>
      <c r="I43" s="245">
        <f t="shared" si="2"/>
        <v>0</v>
      </c>
      <c r="J43" s="245">
        <f t="shared" si="2"/>
        <v>0</v>
      </c>
      <c r="K43" s="245">
        <f t="shared" si="2"/>
        <v>0</v>
      </c>
      <c r="L43" s="245">
        <f t="shared" si="2"/>
        <v>0</v>
      </c>
      <c r="M43" s="245">
        <f t="shared" si="2"/>
        <v>0</v>
      </c>
    </row>
    <row r="44" ht="15.0" customHeight="1">
      <c r="A44" s="258"/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</row>
    <row r="45" ht="15.0" customHeight="1">
      <c r="A45" s="258"/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</row>
    <row r="46" ht="15.0" customHeight="1">
      <c r="A46" s="260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</row>
    <row r="47" ht="15.0" customHeight="1"/>
    <row r="48" ht="15.0" customHeight="1">
      <c r="A48" s="255" t="s">
        <v>674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6"/>
      <c r="M48" s="256"/>
    </row>
    <row r="49" ht="15.0" customHeight="1">
      <c r="A49" s="255" t="s">
        <v>253</v>
      </c>
      <c r="B49" s="256">
        <f t="shared" ref="B49:M49" si="3">B43+B48</f>
        <v>19702000</v>
      </c>
      <c r="C49" s="256">
        <f t="shared" si="3"/>
        <v>8913000</v>
      </c>
      <c r="D49" s="256">
        <f t="shared" si="3"/>
        <v>0</v>
      </c>
      <c r="E49" s="256">
        <f t="shared" si="3"/>
        <v>0</v>
      </c>
      <c r="F49" s="256">
        <f t="shared" si="3"/>
        <v>0</v>
      </c>
      <c r="G49" s="256">
        <f t="shared" si="3"/>
        <v>0</v>
      </c>
      <c r="H49" s="256">
        <f t="shared" si="3"/>
        <v>0</v>
      </c>
      <c r="I49" s="256">
        <f t="shared" si="3"/>
        <v>0</v>
      </c>
      <c r="J49" s="256">
        <f t="shared" si="3"/>
        <v>0</v>
      </c>
      <c r="K49" s="256">
        <f t="shared" si="3"/>
        <v>0</v>
      </c>
      <c r="L49" s="256">
        <f t="shared" si="3"/>
        <v>0</v>
      </c>
      <c r="M49" s="256">
        <f t="shared" si="3"/>
        <v>0</v>
      </c>
    </row>
    <row r="50" ht="15.0" customHeight="1">
      <c r="A50" s="255" t="s">
        <v>684</v>
      </c>
      <c r="B50" s="270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</row>
    <row r="51" ht="15.0" customHeight="1">
      <c r="A51" s="255" t="s">
        <v>685</v>
      </c>
      <c r="B51" s="256">
        <f t="shared" ref="B51:M51" si="4">SUM(B7+B16+B17+B19+B23+B35+B38+B42+B37)/3700</f>
        <v>2130.27027</v>
      </c>
      <c r="C51" s="256">
        <f t="shared" si="4"/>
        <v>381.8918919</v>
      </c>
      <c r="D51" s="256">
        <f t="shared" si="4"/>
        <v>0</v>
      </c>
      <c r="E51" s="256">
        <f t="shared" si="4"/>
        <v>0</v>
      </c>
      <c r="F51" s="256">
        <f t="shared" si="4"/>
        <v>0</v>
      </c>
      <c r="G51" s="256">
        <f t="shared" si="4"/>
        <v>0</v>
      </c>
      <c r="H51" s="256">
        <f t="shared" si="4"/>
        <v>0</v>
      </c>
      <c r="I51" s="256">
        <f t="shared" si="4"/>
        <v>0</v>
      </c>
      <c r="J51" s="256">
        <f t="shared" si="4"/>
        <v>0</v>
      </c>
      <c r="K51" s="256">
        <f t="shared" si="4"/>
        <v>0</v>
      </c>
      <c r="L51" s="256">
        <f t="shared" si="4"/>
        <v>0</v>
      </c>
      <c r="M51" s="256">
        <f t="shared" si="4"/>
        <v>0</v>
      </c>
    </row>
    <row r="52" ht="15.0" customHeight="1">
      <c r="A52" s="258"/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</row>
  </sheetData>
  <dataValidations>
    <dataValidation type="custom" allowBlank="1" showDropDown="1" sqref="B5:L43">
      <formula1>AND(ISNUMBER(B5),(NOT(OR(NOT(ISERROR(DATEVALUE(B5))), AND(ISNUMBER(B5), LEFT(CELL("format", B5))="D")))))</formula1>
    </dataValidation>
  </dataValidations>
  <drawing r:id="rId4"/>
  <legacyDrawing r:id="rId5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271"/>
      <c r="B1" s="272"/>
      <c r="C1" s="273"/>
      <c r="D1" s="273"/>
      <c r="E1" s="272"/>
      <c r="F1" s="272"/>
      <c r="G1" s="272"/>
      <c r="H1" s="272"/>
      <c r="I1" s="272"/>
      <c r="J1" s="272"/>
      <c r="K1" s="272"/>
      <c r="L1" s="272"/>
      <c r="M1" s="274"/>
    </row>
    <row r="2">
      <c r="A2" s="271"/>
      <c r="B2" s="272"/>
      <c r="C2" s="272"/>
      <c r="D2" s="275" t="s">
        <v>686</v>
      </c>
      <c r="E2" s="272"/>
      <c r="F2" s="272"/>
      <c r="G2" s="272"/>
      <c r="H2" s="272"/>
      <c r="I2" s="272"/>
      <c r="J2" s="272"/>
      <c r="K2" s="272"/>
      <c r="L2" s="272"/>
      <c r="M2" s="276"/>
    </row>
    <row r="3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</row>
    <row r="4" ht="22.5" customHeight="1">
      <c r="A4" s="218" t="s">
        <v>1</v>
      </c>
      <c r="B4" s="218" t="s">
        <v>30</v>
      </c>
      <c r="C4" s="218" t="s">
        <v>31</v>
      </c>
      <c r="D4" s="218" t="s">
        <v>32</v>
      </c>
      <c r="E4" s="218" t="s">
        <v>33</v>
      </c>
      <c r="F4" s="218" t="s">
        <v>34</v>
      </c>
      <c r="G4" s="218" t="s">
        <v>35</v>
      </c>
      <c r="H4" s="218" t="s">
        <v>36</v>
      </c>
      <c r="I4" s="218" t="s">
        <v>2</v>
      </c>
      <c r="J4" s="218" t="s">
        <v>3</v>
      </c>
      <c r="K4" s="218" t="s">
        <v>4</v>
      </c>
      <c r="L4" s="218" t="s">
        <v>5</v>
      </c>
      <c r="M4" s="218" t="s">
        <v>6</v>
      </c>
    </row>
    <row r="5" ht="22.5" customHeight="1">
      <c r="A5" s="221" t="s">
        <v>687</v>
      </c>
      <c r="B5" s="223">
        <v>450000.0</v>
      </c>
      <c r="C5" s="223">
        <v>450000.0</v>
      </c>
      <c r="D5" s="223"/>
      <c r="E5" s="223"/>
      <c r="F5" s="223"/>
      <c r="G5" s="223"/>
      <c r="H5" s="223"/>
      <c r="I5" s="223"/>
      <c r="J5" s="223"/>
      <c r="K5" s="223"/>
      <c r="L5" s="223"/>
      <c r="M5" s="223"/>
    </row>
    <row r="6" ht="22.5" customHeight="1">
      <c r="A6" s="221" t="s">
        <v>311</v>
      </c>
      <c r="B6" s="223">
        <v>450000.0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</row>
    <row r="7" ht="22.5" customHeight="1">
      <c r="A7" s="221" t="s">
        <v>312</v>
      </c>
      <c r="B7" s="227"/>
      <c r="C7" s="223">
        <v>350000.0</v>
      </c>
      <c r="D7" s="223"/>
      <c r="E7" s="223"/>
      <c r="F7" s="223"/>
      <c r="G7" s="223"/>
      <c r="H7" s="223"/>
      <c r="I7" s="223"/>
      <c r="J7" s="223"/>
      <c r="K7" s="223"/>
      <c r="L7" s="223"/>
      <c r="M7" s="223"/>
    </row>
    <row r="8" ht="22.5" customHeight="1">
      <c r="A8" s="221" t="s">
        <v>320</v>
      </c>
      <c r="B8" s="223">
        <v>350000.0</v>
      </c>
      <c r="C8" s="223">
        <v>350000.0</v>
      </c>
      <c r="D8" s="223"/>
      <c r="E8" s="223"/>
      <c r="F8" s="223"/>
      <c r="G8" s="223"/>
      <c r="H8" s="223"/>
      <c r="I8" s="223"/>
      <c r="J8" s="223"/>
      <c r="K8" s="223"/>
      <c r="L8" s="223"/>
      <c r="M8" s="223"/>
    </row>
    <row r="9" ht="22.5" customHeight="1">
      <c r="A9" s="221" t="s">
        <v>84</v>
      </c>
      <c r="B9" s="227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</row>
    <row r="10" ht="22.5" customHeight="1">
      <c r="A10" s="221" t="s">
        <v>323</v>
      </c>
      <c r="B10" s="223">
        <v>450000.0</v>
      </c>
      <c r="C10" s="223">
        <v>300000.0</v>
      </c>
      <c r="D10" s="223"/>
      <c r="E10" s="223"/>
      <c r="F10" s="223"/>
      <c r="G10" s="223"/>
      <c r="H10" s="223"/>
      <c r="I10" s="223"/>
      <c r="J10" s="223"/>
      <c r="K10" s="223"/>
      <c r="L10" s="223"/>
      <c r="M10" s="223"/>
    </row>
    <row r="11" ht="22.5" customHeight="1">
      <c r="A11" s="263" t="s">
        <v>688</v>
      </c>
      <c r="B11" s="227"/>
      <c r="C11" s="265">
        <v>435000.0</v>
      </c>
      <c r="D11" s="223"/>
      <c r="E11" s="223"/>
      <c r="F11" s="223"/>
      <c r="G11" s="223"/>
      <c r="H11" s="223"/>
      <c r="I11" s="223"/>
      <c r="J11" s="223"/>
      <c r="K11" s="223"/>
      <c r="L11" s="223"/>
      <c r="M11" s="223"/>
    </row>
    <row r="12" ht="22.5" customHeight="1">
      <c r="A12" s="221" t="s">
        <v>148</v>
      </c>
      <c r="B12" s="223">
        <v>300000.0</v>
      </c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</row>
    <row r="13" ht="22.5" customHeight="1">
      <c r="A13" s="229" t="s">
        <v>188</v>
      </c>
      <c r="B13" s="223">
        <v>160000.0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</row>
    <row r="14" ht="22.5" customHeight="1">
      <c r="A14" s="221" t="s">
        <v>689</v>
      </c>
      <c r="B14" s="223">
        <v>1000000.0</v>
      </c>
      <c r="C14" s="223">
        <v>0.0</v>
      </c>
      <c r="D14" s="223">
        <v>0.0</v>
      </c>
      <c r="E14" s="223"/>
      <c r="F14" s="223"/>
      <c r="G14" s="223"/>
      <c r="H14" s="223"/>
      <c r="I14" s="223"/>
      <c r="J14" s="223"/>
      <c r="K14" s="223"/>
      <c r="L14" s="223"/>
      <c r="M14" s="223"/>
    </row>
    <row r="15" ht="22.5" customHeight="1">
      <c r="A15" s="221" t="s">
        <v>690</v>
      </c>
      <c r="B15" s="223">
        <v>350000.0</v>
      </c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</row>
    <row r="16" ht="22.5" customHeight="1">
      <c r="A16" s="221" t="s">
        <v>691</v>
      </c>
      <c r="B16" s="223">
        <v>450000.0</v>
      </c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</row>
    <row r="17" ht="22.5" customHeight="1">
      <c r="A17" s="221" t="s">
        <v>692</v>
      </c>
      <c r="B17" s="265">
        <v>430000.0</v>
      </c>
      <c r="C17" s="223"/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ht="22.5" customHeight="1">
      <c r="A18" s="221" t="s">
        <v>410</v>
      </c>
      <c r="B18" s="223">
        <v>350000.0</v>
      </c>
      <c r="C18" s="223">
        <v>350000.0</v>
      </c>
      <c r="D18" s="223"/>
      <c r="E18" s="223"/>
      <c r="F18" s="223"/>
      <c r="G18" s="223"/>
      <c r="H18" s="223"/>
      <c r="I18" s="223"/>
      <c r="J18" s="223"/>
      <c r="K18" s="223"/>
      <c r="L18" s="223"/>
      <c r="M18" s="223"/>
    </row>
    <row r="19" ht="22.5" customHeight="1">
      <c r="A19" s="263" t="s">
        <v>415</v>
      </c>
      <c r="B19" s="265">
        <v>430000.0</v>
      </c>
      <c r="C19" s="223"/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ht="22.5" customHeight="1">
      <c r="A20" s="241" t="s">
        <v>693</v>
      </c>
      <c r="B20" s="244">
        <v>530000.0</v>
      </c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</row>
    <row r="21" ht="22.5" customHeight="1">
      <c r="A21" s="221" t="s">
        <v>13</v>
      </c>
      <c r="B21" s="223">
        <v>450000.0</v>
      </c>
      <c r="C21" s="223">
        <v>450000.0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ht="22.5" customHeight="1">
      <c r="A22" s="221" t="s">
        <v>436</v>
      </c>
      <c r="B22" s="223">
        <v>350000.0</v>
      </c>
      <c r="C22" s="223">
        <v>350000.0</v>
      </c>
      <c r="D22" s="223"/>
      <c r="E22" s="223"/>
      <c r="F22" s="223"/>
      <c r="G22" s="223"/>
      <c r="H22" s="223"/>
      <c r="I22" s="223"/>
      <c r="J22" s="223"/>
      <c r="K22" s="223"/>
      <c r="L22" s="223"/>
      <c r="M22" s="223"/>
    </row>
    <row r="23" ht="22.5" customHeight="1">
      <c r="A23" s="221" t="s">
        <v>694</v>
      </c>
      <c r="B23" s="223">
        <v>450000.0</v>
      </c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ht="22.5" customHeight="1">
      <c r="A24" s="221" t="s">
        <v>695</v>
      </c>
      <c r="B24" s="223">
        <v>162000.0</v>
      </c>
      <c r="C24" s="223">
        <v>2430000.0</v>
      </c>
      <c r="D24" s="223">
        <v>0.0</v>
      </c>
      <c r="E24" s="223">
        <v>0.0</v>
      </c>
      <c r="F24" s="223">
        <v>0.0</v>
      </c>
      <c r="G24" s="223">
        <v>0.0</v>
      </c>
      <c r="H24" s="223">
        <v>0.0</v>
      </c>
      <c r="I24" s="223"/>
      <c r="J24" s="223"/>
      <c r="K24" s="223"/>
      <c r="L24" s="223"/>
      <c r="M24" s="223"/>
    </row>
    <row r="25" ht="22.5" customHeight="1">
      <c r="A25" s="221" t="s">
        <v>696</v>
      </c>
      <c r="B25" s="223">
        <v>175000.0</v>
      </c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</row>
    <row r="26" ht="22.5" customHeight="1">
      <c r="A26" s="221" t="s">
        <v>462</v>
      </c>
      <c r="B26" s="223">
        <v>450000.0</v>
      </c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</row>
    <row r="27" ht="22.5" customHeight="1">
      <c r="A27" s="263" t="s">
        <v>697</v>
      </c>
      <c r="B27" s="265">
        <v>430000.0</v>
      </c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</row>
    <row r="28" ht="22.5" customHeight="1">
      <c r="A28" s="241" t="s">
        <v>698</v>
      </c>
      <c r="B28" s="245">
        <f t="shared" ref="B28:M28" si="1">SUM(B5:B27)*80%</f>
        <v>6533600</v>
      </c>
      <c r="C28" s="245">
        <f t="shared" si="1"/>
        <v>4372000</v>
      </c>
      <c r="D28" s="245">
        <f t="shared" si="1"/>
        <v>0</v>
      </c>
      <c r="E28" s="245">
        <f t="shared" si="1"/>
        <v>0</v>
      </c>
      <c r="F28" s="245">
        <f t="shared" si="1"/>
        <v>0</v>
      </c>
      <c r="G28" s="245">
        <f t="shared" si="1"/>
        <v>0</v>
      </c>
      <c r="H28" s="245">
        <f t="shared" si="1"/>
        <v>0</v>
      </c>
      <c r="I28" s="245">
        <f t="shared" si="1"/>
        <v>0</v>
      </c>
      <c r="J28" s="245">
        <f t="shared" si="1"/>
        <v>0</v>
      </c>
      <c r="K28" s="245">
        <f t="shared" si="1"/>
        <v>0</v>
      </c>
      <c r="L28" s="245">
        <f t="shared" si="1"/>
        <v>0</v>
      </c>
      <c r="M28" s="245">
        <f t="shared" si="1"/>
        <v>0</v>
      </c>
      <c r="O28" s="72">
        <f>SUM(B5:B27)</f>
        <v>8167000</v>
      </c>
    </row>
    <row r="29" ht="22.5" customHeight="1">
      <c r="A29" s="248"/>
      <c r="B29" s="249"/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</row>
    <row r="30">
      <c r="A30" s="67" t="s">
        <v>699</v>
      </c>
      <c r="B30" s="139">
        <f>B17+B19+B27</f>
        <v>1290000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>
      <c r="A31" s="31" t="s">
        <v>700</v>
      </c>
      <c r="B31" s="104">
        <f>SUM(B5:B27)+(B45)-(B30)</f>
        <v>8267000</v>
      </c>
      <c r="C31" s="104">
        <f t="shared" ref="C31:M31" si="2">SUM(C5:C27)-C30</f>
        <v>5465000</v>
      </c>
      <c r="D31" s="104">
        <f t="shared" si="2"/>
        <v>0</v>
      </c>
      <c r="E31" s="104">
        <f t="shared" si="2"/>
        <v>0</v>
      </c>
      <c r="F31" s="104">
        <f t="shared" si="2"/>
        <v>0</v>
      </c>
      <c r="G31" s="104">
        <f t="shared" si="2"/>
        <v>0</v>
      </c>
      <c r="H31" s="104">
        <f t="shared" si="2"/>
        <v>0</v>
      </c>
      <c r="I31" s="104">
        <f t="shared" si="2"/>
        <v>0</v>
      </c>
      <c r="J31" s="104">
        <f t="shared" si="2"/>
        <v>0</v>
      </c>
      <c r="K31" s="104">
        <f t="shared" si="2"/>
        <v>0</v>
      </c>
      <c r="L31" s="104">
        <f t="shared" si="2"/>
        <v>0</v>
      </c>
      <c r="M31" s="104">
        <f t="shared" si="2"/>
        <v>0</v>
      </c>
    </row>
    <row r="32">
      <c r="A32" s="65" t="s">
        <v>701</v>
      </c>
      <c r="B32" s="142">
        <f t="shared" ref="B32:M32" si="3">B51+B52</f>
        <v>1320000</v>
      </c>
      <c r="C32" s="142">
        <f t="shared" si="3"/>
        <v>0</v>
      </c>
      <c r="D32" s="142">
        <f t="shared" si="3"/>
        <v>0</v>
      </c>
      <c r="E32" s="142">
        <f t="shared" si="3"/>
        <v>0</v>
      </c>
      <c r="F32" s="142">
        <f t="shared" si="3"/>
        <v>0</v>
      </c>
      <c r="G32" s="142">
        <f t="shared" si="3"/>
        <v>0</v>
      </c>
      <c r="H32" s="142">
        <f t="shared" si="3"/>
        <v>0</v>
      </c>
      <c r="I32" s="142">
        <f t="shared" si="3"/>
        <v>0</v>
      </c>
      <c r="J32" s="142">
        <f t="shared" si="3"/>
        <v>0</v>
      </c>
      <c r="K32" s="142">
        <f t="shared" si="3"/>
        <v>0</v>
      </c>
      <c r="L32" s="142">
        <f t="shared" si="3"/>
        <v>0</v>
      </c>
      <c r="M32" s="142">
        <f t="shared" si="3"/>
        <v>0</v>
      </c>
    </row>
    <row r="33">
      <c r="A33" s="17" t="s">
        <v>702</v>
      </c>
      <c r="B33" s="72">
        <f>B31-B32</f>
        <v>6947000</v>
      </c>
      <c r="C33">
        <f t="shared" ref="C33:M33" si="4">C57/2</f>
        <v>0</v>
      </c>
      <c r="D33">
        <f t="shared" si="4"/>
        <v>0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</row>
    <row r="34">
      <c r="A34" s="17" t="s">
        <v>703</v>
      </c>
      <c r="B34" s="72">
        <f>B57/2</f>
        <v>220000</v>
      </c>
    </row>
    <row r="35">
      <c r="A35" s="17" t="s">
        <v>704</v>
      </c>
      <c r="B35" s="72">
        <f>B28-B34</f>
        <v>6313600</v>
      </c>
    </row>
    <row r="36">
      <c r="A36" s="17" t="s">
        <v>267</v>
      </c>
      <c r="B36" s="277">
        <f>B35-B33</f>
        <v>-633400</v>
      </c>
    </row>
    <row r="38">
      <c r="A38" s="278" t="s">
        <v>183</v>
      </c>
      <c r="B38" s="279">
        <v>100000.0</v>
      </c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80"/>
    </row>
    <row r="39">
      <c r="A39" s="278" t="s">
        <v>549</v>
      </c>
      <c r="B39" s="279">
        <v>360000.0</v>
      </c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80"/>
    </row>
    <row r="40">
      <c r="A40" s="278" t="s">
        <v>705</v>
      </c>
      <c r="B40" s="279">
        <v>360000.0</v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81"/>
    </row>
    <row r="41">
      <c r="A41" s="278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81"/>
    </row>
    <row r="42">
      <c r="A42" s="278" t="s">
        <v>706</v>
      </c>
      <c r="B42" s="282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81"/>
    </row>
    <row r="43">
      <c r="A43" s="278" t="s">
        <v>707</v>
      </c>
      <c r="B43" s="279">
        <v>360000.0</v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81"/>
    </row>
    <row r="44">
      <c r="A44" s="278" t="s">
        <v>708</v>
      </c>
      <c r="B44" s="279">
        <v>210000.0</v>
      </c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81"/>
    </row>
    <row r="45">
      <c r="A45" s="283" t="s">
        <v>28</v>
      </c>
      <c r="B45" s="284">
        <f t="shared" ref="B45:M45" si="5">SUM(B38:B44)</f>
        <v>1390000</v>
      </c>
      <c r="C45" s="284">
        <f t="shared" si="5"/>
        <v>0</v>
      </c>
      <c r="D45" s="284">
        <f t="shared" si="5"/>
        <v>0</v>
      </c>
      <c r="E45" s="284">
        <f t="shared" si="5"/>
        <v>0</v>
      </c>
      <c r="F45" s="284">
        <f t="shared" si="5"/>
        <v>0</v>
      </c>
      <c r="G45" s="284">
        <f t="shared" si="5"/>
        <v>0</v>
      </c>
      <c r="H45" s="284">
        <f t="shared" si="5"/>
        <v>0</v>
      </c>
      <c r="I45" s="284">
        <f t="shared" si="5"/>
        <v>0</v>
      </c>
      <c r="J45" s="284">
        <f t="shared" si="5"/>
        <v>0</v>
      </c>
      <c r="K45" s="284">
        <f t="shared" si="5"/>
        <v>0</v>
      </c>
      <c r="L45" s="284">
        <f t="shared" si="5"/>
        <v>0</v>
      </c>
      <c r="M45" s="284">
        <f t="shared" si="5"/>
        <v>0</v>
      </c>
      <c r="N45" s="281"/>
    </row>
    <row r="48" ht="22.5" customHeight="1">
      <c r="A48" s="218" t="s">
        <v>1</v>
      </c>
      <c r="B48" s="218" t="s">
        <v>30</v>
      </c>
      <c r="C48" s="218" t="s">
        <v>31</v>
      </c>
      <c r="D48" s="218" t="s">
        <v>32</v>
      </c>
      <c r="E48" s="218" t="s">
        <v>33</v>
      </c>
      <c r="F48" s="218" t="s">
        <v>34</v>
      </c>
      <c r="G48" s="218" t="s">
        <v>35</v>
      </c>
      <c r="H48" s="218" t="s">
        <v>36</v>
      </c>
      <c r="I48" s="218" t="s">
        <v>2</v>
      </c>
      <c r="J48" s="218" t="s">
        <v>3</v>
      </c>
      <c r="K48" s="218" t="s">
        <v>4</v>
      </c>
      <c r="L48" s="218" t="s">
        <v>5</v>
      </c>
      <c r="M48" s="218" t="s">
        <v>6</v>
      </c>
    </row>
    <row r="49" ht="22.5" customHeight="1">
      <c r="A49" s="221" t="s">
        <v>709</v>
      </c>
      <c r="B49" s="223">
        <v>210000.0</v>
      </c>
      <c r="C49" s="223">
        <v>210000.0</v>
      </c>
      <c r="D49" s="223"/>
      <c r="E49" s="223"/>
      <c r="F49" s="223"/>
      <c r="G49" s="223"/>
      <c r="H49" s="223"/>
      <c r="I49" s="223"/>
      <c r="J49" s="223"/>
      <c r="K49" s="223"/>
      <c r="L49" s="223"/>
      <c r="M49" s="223"/>
    </row>
    <row r="50" ht="22.5" customHeight="1">
      <c r="A50" s="221" t="s">
        <v>528</v>
      </c>
      <c r="B50" s="223">
        <v>300000.0</v>
      </c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</row>
    <row r="51" ht="22.5" customHeight="1">
      <c r="A51" s="221" t="s">
        <v>614</v>
      </c>
      <c r="B51" s="223">
        <v>770000.0</v>
      </c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</row>
    <row r="52" ht="22.5" customHeight="1">
      <c r="A52" s="221" t="s">
        <v>710</v>
      </c>
      <c r="B52" s="223">
        <v>550000.0</v>
      </c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</row>
    <row r="53" ht="22.5" customHeight="1">
      <c r="A53" s="221" t="s">
        <v>531</v>
      </c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</row>
    <row r="54" ht="22.5" customHeight="1">
      <c r="A54" s="226" t="s">
        <v>711</v>
      </c>
      <c r="B54" s="285">
        <f t="shared" ref="B54:M54" si="6">SUM(B49:B53)</f>
        <v>1830000</v>
      </c>
      <c r="C54" s="285">
        <f t="shared" si="6"/>
        <v>210000</v>
      </c>
      <c r="D54" s="285">
        <f t="shared" si="6"/>
        <v>0</v>
      </c>
      <c r="E54" s="285">
        <f t="shared" si="6"/>
        <v>0</v>
      </c>
      <c r="F54" s="285">
        <f t="shared" si="6"/>
        <v>0</v>
      </c>
      <c r="G54" s="285">
        <f t="shared" si="6"/>
        <v>0</v>
      </c>
      <c r="H54" s="285">
        <f t="shared" si="6"/>
        <v>0</v>
      </c>
      <c r="I54" s="285">
        <f t="shared" si="6"/>
        <v>0</v>
      </c>
      <c r="J54" s="285">
        <f t="shared" si="6"/>
        <v>0</v>
      </c>
      <c r="K54" s="285">
        <f t="shared" si="6"/>
        <v>0</v>
      </c>
      <c r="L54" s="285">
        <f t="shared" si="6"/>
        <v>0</v>
      </c>
      <c r="M54" s="285">
        <f t="shared" si="6"/>
        <v>0</v>
      </c>
    </row>
    <row r="56">
      <c r="A56" s="24" t="s">
        <v>712</v>
      </c>
      <c r="B56" s="286">
        <f t="shared" ref="B56:M56" si="7">B45</f>
        <v>1390000</v>
      </c>
      <c r="C56" s="286">
        <f t="shared" si="7"/>
        <v>0</v>
      </c>
      <c r="D56" s="286">
        <f t="shared" si="7"/>
        <v>0</v>
      </c>
      <c r="E56" s="286">
        <f t="shared" si="7"/>
        <v>0</v>
      </c>
      <c r="F56" s="286">
        <f t="shared" si="7"/>
        <v>0</v>
      </c>
      <c r="G56" s="286">
        <f t="shared" si="7"/>
        <v>0</v>
      </c>
      <c r="H56" s="286">
        <f t="shared" si="7"/>
        <v>0</v>
      </c>
      <c r="I56" s="286">
        <f t="shared" si="7"/>
        <v>0</v>
      </c>
      <c r="J56" s="286">
        <f t="shared" si="7"/>
        <v>0</v>
      </c>
      <c r="K56" s="286">
        <f t="shared" si="7"/>
        <v>0</v>
      </c>
      <c r="L56" s="286">
        <f t="shared" si="7"/>
        <v>0</v>
      </c>
      <c r="M56" s="286">
        <f t="shared" si="7"/>
        <v>0</v>
      </c>
    </row>
    <row r="57">
      <c r="A57" s="12" t="s">
        <v>713</v>
      </c>
      <c r="B57" s="100">
        <f>B54-B56</f>
        <v>440000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9">
      <c r="B59" s="72">
        <f>B30-B49-B50+496400</f>
        <v>1276400</v>
      </c>
      <c r="C59" s="72">
        <f>C30-C49-C50</f>
        <v>-210000</v>
      </c>
    </row>
  </sheetData>
  <dataValidations>
    <dataValidation type="custom" allowBlank="1" showDropDown="1" sqref="B5:L29 B49:L54">
      <formula1>AND(ISNUMBER(B5),(NOT(OR(NOT(ISERROR(DATEVALUE(B5))), AND(ISNUMBER(B5), LEFT(CELL("format", B5))="D")))))</formula1>
    </dataValidation>
  </dataValidations>
  <drawing r:id="rId4"/>
  <legacyDrawing r:id="rId5"/>
  <tableParts count="3"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1.38"/>
    <col customWidth="1" min="3" max="3" width="11.13"/>
    <col customWidth="1" min="4" max="4" width="10.75"/>
    <col customWidth="1" min="5" max="5" width="10.5"/>
    <col customWidth="1" min="6" max="6" width="9.63"/>
    <col customWidth="1" min="7" max="7" width="10.38"/>
    <col customWidth="1" min="8" max="8" width="10.25"/>
    <col customWidth="1" min="9" max="9" width="11.13"/>
    <col customWidth="1" min="13" max="13" width="13.38"/>
    <col customWidth="1" min="15" max="15" width="16.75"/>
    <col customWidth="1" min="16" max="16" width="18.38"/>
    <col customWidth="1" min="17" max="17" width="22.63"/>
  </cols>
  <sheetData>
    <row r="1">
      <c r="A1" s="287"/>
      <c r="B1" s="288"/>
      <c r="C1" s="289"/>
      <c r="D1" s="289"/>
      <c r="E1" s="288"/>
      <c r="F1" s="288"/>
      <c r="G1" s="288"/>
      <c r="H1" s="288"/>
      <c r="I1" s="288"/>
      <c r="J1" s="288"/>
      <c r="K1" s="288"/>
      <c r="L1" s="288"/>
      <c r="M1" s="290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</row>
    <row r="2">
      <c r="A2" s="291" t="s">
        <v>714</v>
      </c>
      <c r="B2" s="288"/>
      <c r="C2" s="288"/>
      <c r="D2" s="292" t="s">
        <v>715</v>
      </c>
      <c r="E2" s="288"/>
      <c r="F2" s="288"/>
      <c r="G2" s="288"/>
      <c r="H2" s="288"/>
      <c r="I2" s="288"/>
      <c r="J2" s="288"/>
      <c r="K2" s="288"/>
      <c r="L2" s="288"/>
      <c r="M2" s="293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</row>
    <row r="3">
      <c r="A3" s="288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</row>
    <row r="4" ht="15.0" customHeight="1">
      <c r="A4" s="218" t="s">
        <v>1</v>
      </c>
      <c r="B4" s="218" t="s">
        <v>30</v>
      </c>
      <c r="C4" s="218" t="s">
        <v>31</v>
      </c>
      <c r="D4" s="218" t="s">
        <v>32</v>
      </c>
      <c r="E4" s="218" t="s">
        <v>33</v>
      </c>
      <c r="F4" s="218" t="s">
        <v>34</v>
      </c>
      <c r="G4" s="218" t="s">
        <v>35</v>
      </c>
      <c r="H4" s="218" t="s">
        <v>36</v>
      </c>
      <c r="I4" s="218" t="s">
        <v>2</v>
      </c>
      <c r="J4" s="218" t="s">
        <v>3</v>
      </c>
      <c r="K4" s="218" t="s">
        <v>4</v>
      </c>
      <c r="L4" s="218" t="s">
        <v>5</v>
      </c>
      <c r="M4" s="218" t="s">
        <v>6</v>
      </c>
      <c r="N4" s="294" t="s">
        <v>642</v>
      </c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</row>
    <row r="5" ht="15.0" customHeight="1">
      <c r="A5" s="229" t="s">
        <v>716</v>
      </c>
      <c r="B5" s="227"/>
      <c r="C5" s="295">
        <v>360000.0</v>
      </c>
      <c r="D5" s="295">
        <v>320000.0</v>
      </c>
      <c r="E5" s="295">
        <v>360000.0</v>
      </c>
      <c r="F5" s="227"/>
      <c r="G5" s="227"/>
      <c r="H5" s="227"/>
      <c r="I5" s="227"/>
      <c r="J5" s="227"/>
      <c r="K5" s="227"/>
      <c r="L5" s="227"/>
      <c r="M5" s="227"/>
      <c r="N5" s="244">
        <f t="shared" ref="N5:N62" si="1">SUM(B5:M5)</f>
        <v>1040000</v>
      </c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</row>
    <row r="6" ht="15.0" customHeight="1">
      <c r="A6" s="221" t="s">
        <v>299</v>
      </c>
      <c r="B6" s="227"/>
      <c r="C6" s="227"/>
      <c r="D6" s="227"/>
      <c r="E6" s="227"/>
      <c r="F6" s="227"/>
      <c r="G6" s="227"/>
      <c r="H6" s="223">
        <v>350000.0</v>
      </c>
      <c r="I6" s="223">
        <v>350000.0</v>
      </c>
      <c r="J6" s="223">
        <v>350000.0</v>
      </c>
      <c r="K6" s="223">
        <v>350000.0</v>
      </c>
      <c r="L6" s="223">
        <v>350000.0</v>
      </c>
      <c r="M6" s="223">
        <v>93300.0</v>
      </c>
      <c r="N6" s="244">
        <f t="shared" si="1"/>
        <v>1843300</v>
      </c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</row>
    <row r="7" ht="15.0" customHeight="1">
      <c r="A7" s="221" t="s">
        <v>687</v>
      </c>
      <c r="B7" s="227"/>
      <c r="C7" s="227"/>
      <c r="D7" s="227"/>
      <c r="E7" s="227"/>
      <c r="F7" s="227"/>
      <c r="G7" s="227"/>
      <c r="H7" s="227"/>
      <c r="I7" s="227"/>
      <c r="J7" s="227"/>
      <c r="K7" s="223">
        <v>180000.0</v>
      </c>
      <c r="L7" s="223">
        <v>450000.0</v>
      </c>
      <c r="M7" s="223">
        <v>450000.0</v>
      </c>
      <c r="N7" s="244">
        <f t="shared" si="1"/>
        <v>1080000</v>
      </c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</row>
    <row r="8" ht="15.0" customHeight="1">
      <c r="A8" s="229" t="s">
        <v>717</v>
      </c>
      <c r="B8" s="227"/>
      <c r="C8" s="227"/>
      <c r="D8" s="227"/>
      <c r="E8" s="227"/>
      <c r="F8" s="227"/>
      <c r="G8" s="223">
        <v>450000.0</v>
      </c>
      <c r="H8" s="223">
        <v>450000.0</v>
      </c>
      <c r="I8" s="223">
        <v>450000.0</v>
      </c>
      <c r="J8" s="227"/>
      <c r="K8" s="227"/>
      <c r="L8" s="227"/>
      <c r="M8" s="227"/>
      <c r="N8" s="244">
        <f t="shared" si="1"/>
        <v>1350000</v>
      </c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</row>
    <row r="9" ht="15.0" customHeight="1">
      <c r="A9" s="221" t="s">
        <v>312</v>
      </c>
      <c r="B9" s="223">
        <v>450000.0</v>
      </c>
      <c r="C9" s="223">
        <v>450000.0</v>
      </c>
      <c r="D9" s="223">
        <v>450000.0</v>
      </c>
      <c r="E9" s="223">
        <v>450000.0</v>
      </c>
      <c r="F9" s="223">
        <v>450000.0</v>
      </c>
      <c r="G9" s="223">
        <v>450000.0</v>
      </c>
      <c r="H9" s="223">
        <v>450000.0</v>
      </c>
      <c r="I9" s="223">
        <v>350000.0</v>
      </c>
      <c r="J9" s="223">
        <v>350000.0</v>
      </c>
      <c r="K9" s="223">
        <v>350000.0</v>
      </c>
      <c r="L9" s="227"/>
      <c r="M9" s="227"/>
      <c r="N9" s="244">
        <f t="shared" si="1"/>
        <v>4200000</v>
      </c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</row>
    <row r="10" ht="15.0" customHeight="1">
      <c r="A10" s="221" t="s">
        <v>104</v>
      </c>
      <c r="B10" s="223">
        <v>2600000.0</v>
      </c>
      <c r="C10" s="223">
        <v>0.0</v>
      </c>
      <c r="D10" s="223">
        <v>0.0</v>
      </c>
      <c r="E10" s="223">
        <v>0.0</v>
      </c>
      <c r="F10" s="223">
        <v>0.0</v>
      </c>
      <c r="G10" s="223">
        <v>0.0</v>
      </c>
      <c r="H10" s="223">
        <v>2600000.0</v>
      </c>
      <c r="I10" s="223">
        <v>0.0</v>
      </c>
      <c r="J10" s="223">
        <v>0.0</v>
      </c>
      <c r="K10" s="223">
        <v>0.0</v>
      </c>
      <c r="L10" s="223">
        <v>0.0</v>
      </c>
      <c r="M10" s="223">
        <v>0.0</v>
      </c>
      <c r="N10" s="244">
        <f t="shared" si="1"/>
        <v>5200000</v>
      </c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</row>
    <row r="11" ht="15.0" customHeight="1">
      <c r="A11" s="229" t="s">
        <v>308</v>
      </c>
      <c r="B11" s="223">
        <v>350000.0</v>
      </c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44">
        <f t="shared" si="1"/>
        <v>350000</v>
      </c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</row>
    <row r="12" ht="15.0" customHeight="1">
      <c r="A12" s="221" t="s">
        <v>311</v>
      </c>
      <c r="B12" s="223">
        <v>450000.0</v>
      </c>
      <c r="C12" s="223">
        <v>450000.0</v>
      </c>
      <c r="D12" s="223">
        <v>450000.0</v>
      </c>
      <c r="E12" s="223">
        <v>450000.0</v>
      </c>
      <c r="F12" s="223">
        <v>450000.0</v>
      </c>
      <c r="G12" s="223">
        <v>450000.0</v>
      </c>
      <c r="H12" s="223">
        <v>450000.0</v>
      </c>
      <c r="I12" s="223">
        <v>450000.0</v>
      </c>
      <c r="J12" s="223">
        <v>450000.0</v>
      </c>
      <c r="K12" s="223">
        <v>450000.0</v>
      </c>
      <c r="L12" s="223">
        <v>450000.0</v>
      </c>
      <c r="M12" s="223">
        <v>450000.0</v>
      </c>
      <c r="N12" s="244">
        <f t="shared" si="1"/>
        <v>5400000</v>
      </c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</row>
    <row r="13" ht="15.0" customHeight="1">
      <c r="A13" s="221" t="s">
        <v>320</v>
      </c>
      <c r="B13" s="223">
        <v>350000.0</v>
      </c>
      <c r="C13" s="223">
        <v>350000.0</v>
      </c>
      <c r="D13" s="223">
        <v>350000.0</v>
      </c>
      <c r="E13" s="223">
        <v>350000.0</v>
      </c>
      <c r="F13" s="223">
        <v>350000.0</v>
      </c>
      <c r="G13" s="223">
        <v>350000.0</v>
      </c>
      <c r="H13" s="223">
        <v>350000.0</v>
      </c>
      <c r="I13" s="223">
        <v>350000.0</v>
      </c>
      <c r="J13" s="223">
        <v>350000.0</v>
      </c>
      <c r="K13" s="223">
        <v>350000.0</v>
      </c>
      <c r="L13" s="223">
        <v>350000.0</v>
      </c>
      <c r="M13" s="223">
        <v>350000.0</v>
      </c>
      <c r="N13" s="244">
        <f t="shared" si="1"/>
        <v>4200000</v>
      </c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</row>
    <row r="14" ht="15.0" customHeight="1">
      <c r="A14" s="221" t="s">
        <v>84</v>
      </c>
      <c r="B14" s="223">
        <v>450000.0</v>
      </c>
      <c r="C14" s="223">
        <v>450000.0</v>
      </c>
      <c r="D14" s="223">
        <v>450000.0</v>
      </c>
      <c r="E14" s="223">
        <v>450000.0</v>
      </c>
      <c r="F14" s="223">
        <v>450000.0</v>
      </c>
      <c r="G14" s="227"/>
      <c r="H14" s="223">
        <v>450000.0</v>
      </c>
      <c r="I14" s="223">
        <v>450000.0</v>
      </c>
      <c r="J14" s="223">
        <v>450000.0</v>
      </c>
      <c r="K14" s="223">
        <v>450000.0</v>
      </c>
      <c r="L14" s="223">
        <v>450000.0</v>
      </c>
      <c r="M14" s="227"/>
      <c r="N14" s="244">
        <f t="shared" si="1"/>
        <v>4500000</v>
      </c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</row>
    <row r="15" ht="15.0" customHeight="1">
      <c r="A15" s="221" t="s">
        <v>323</v>
      </c>
      <c r="B15" s="223">
        <v>350000.0</v>
      </c>
      <c r="C15" s="231">
        <v>420000.0</v>
      </c>
      <c r="D15" s="231">
        <v>420000.0</v>
      </c>
      <c r="E15" s="231">
        <v>420000.0</v>
      </c>
      <c r="F15" s="223">
        <v>450000.0</v>
      </c>
      <c r="G15" s="231">
        <v>450000.0</v>
      </c>
      <c r="H15" s="231">
        <v>450000.0</v>
      </c>
      <c r="I15" s="223">
        <v>450000.0</v>
      </c>
      <c r="J15" s="223">
        <v>450000.0</v>
      </c>
      <c r="K15" s="227"/>
      <c r="L15" s="223">
        <v>450000.0</v>
      </c>
      <c r="M15" s="227"/>
      <c r="N15" s="244">
        <f t="shared" si="1"/>
        <v>4310000</v>
      </c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</row>
    <row r="16" ht="15.0" customHeight="1">
      <c r="A16" s="221" t="s">
        <v>718</v>
      </c>
      <c r="B16" s="227"/>
      <c r="C16" s="227"/>
      <c r="D16" s="227"/>
      <c r="E16" s="227"/>
      <c r="F16" s="227"/>
      <c r="G16" s="227"/>
      <c r="H16" s="227"/>
      <c r="I16" s="227"/>
      <c r="J16" s="223">
        <v>450000.0</v>
      </c>
      <c r="K16" s="223">
        <v>450000.0</v>
      </c>
      <c r="L16" s="223">
        <v>450000.0</v>
      </c>
      <c r="M16" s="223">
        <v>180000.0</v>
      </c>
      <c r="N16" s="244">
        <f t="shared" si="1"/>
        <v>1530000</v>
      </c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</row>
    <row r="17" ht="15.0" customHeight="1">
      <c r="A17" s="229" t="s">
        <v>178</v>
      </c>
      <c r="B17" s="223">
        <v>350000.0</v>
      </c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44">
        <f t="shared" si="1"/>
        <v>350000</v>
      </c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</row>
    <row r="18" ht="15.0" customHeight="1">
      <c r="A18" s="229" t="s">
        <v>332</v>
      </c>
      <c r="B18" s="223">
        <v>350000.0</v>
      </c>
      <c r="C18" s="223">
        <v>350000.0</v>
      </c>
      <c r="D18" s="223">
        <v>350000.0</v>
      </c>
      <c r="E18" s="227"/>
      <c r="F18" s="227"/>
      <c r="G18" s="227"/>
      <c r="H18" s="227"/>
      <c r="I18" s="227"/>
      <c r="J18" s="227"/>
      <c r="K18" s="227"/>
      <c r="L18" s="227"/>
      <c r="M18" s="227"/>
      <c r="N18" s="244">
        <f t="shared" si="1"/>
        <v>1050000</v>
      </c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</row>
    <row r="19" ht="15.0" customHeight="1">
      <c r="A19" s="229" t="s">
        <v>334</v>
      </c>
      <c r="B19" s="295">
        <v>300000.0</v>
      </c>
      <c r="C19" s="295">
        <v>340000.0</v>
      </c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44">
        <f t="shared" si="1"/>
        <v>640000</v>
      </c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</row>
    <row r="20" ht="15.0" customHeight="1">
      <c r="A20" s="229" t="s">
        <v>184</v>
      </c>
      <c r="B20" s="295">
        <v>250000.0</v>
      </c>
      <c r="C20" s="295">
        <v>340000.0</v>
      </c>
      <c r="D20" s="295">
        <v>340000.0</v>
      </c>
      <c r="E20" s="227"/>
      <c r="F20" s="227"/>
      <c r="G20" s="227"/>
      <c r="H20" s="227"/>
      <c r="I20" s="227"/>
      <c r="J20" s="227"/>
      <c r="K20" s="227"/>
      <c r="L20" s="227"/>
      <c r="M20" s="227"/>
      <c r="N20" s="244">
        <f t="shared" si="1"/>
        <v>930000</v>
      </c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</row>
    <row r="21" ht="15.0" customHeight="1">
      <c r="A21" s="241" t="s">
        <v>183</v>
      </c>
      <c r="B21" s="228">
        <v>1290000.0</v>
      </c>
      <c r="C21" s="223">
        <v>0.0</v>
      </c>
      <c r="D21" s="231">
        <v>0.0</v>
      </c>
      <c r="E21" s="231">
        <v>420000.0</v>
      </c>
      <c r="F21" s="223">
        <v>450000.0</v>
      </c>
      <c r="G21" s="223">
        <v>450000.0</v>
      </c>
      <c r="H21" s="231">
        <v>450000.0</v>
      </c>
      <c r="I21" s="231">
        <v>450000.0</v>
      </c>
      <c r="J21" s="231">
        <v>450000.0</v>
      </c>
      <c r="K21" s="231">
        <v>450000.0</v>
      </c>
      <c r="L21" s="231">
        <v>0.0</v>
      </c>
      <c r="M21" s="244">
        <v>0.0</v>
      </c>
      <c r="N21" s="244">
        <f t="shared" si="1"/>
        <v>4410000</v>
      </c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</row>
    <row r="22" ht="15.0" customHeight="1">
      <c r="A22" s="229" t="s">
        <v>182</v>
      </c>
      <c r="B22" s="227"/>
      <c r="C22" s="227"/>
      <c r="D22" s="227"/>
      <c r="E22" s="227"/>
      <c r="F22" s="227"/>
      <c r="G22" s="295">
        <v>360000.0</v>
      </c>
      <c r="H22" s="227"/>
      <c r="I22" s="227"/>
      <c r="J22" s="227"/>
      <c r="K22" s="227"/>
      <c r="L22" s="227"/>
      <c r="M22" s="227"/>
      <c r="N22" s="244">
        <f t="shared" si="1"/>
        <v>360000</v>
      </c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</row>
    <row r="23" ht="15.0" customHeight="1">
      <c r="A23" s="221" t="s">
        <v>356</v>
      </c>
      <c r="B23" s="223">
        <v>450000.0</v>
      </c>
      <c r="C23" s="223">
        <v>450000.0</v>
      </c>
      <c r="D23" s="223">
        <v>135000.0</v>
      </c>
      <c r="E23" s="227"/>
      <c r="F23" s="227"/>
      <c r="G23" s="227"/>
      <c r="H23" s="227"/>
      <c r="I23" s="227"/>
      <c r="J23" s="223">
        <v>180000.0</v>
      </c>
      <c r="K23" s="223">
        <v>360000.0</v>
      </c>
      <c r="L23" s="223">
        <v>360000.0</v>
      </c>
      <c r="M23" s="223">
        <v>360000.0</v>
      </c>
      <c r="N23" s="244">
        <f t="shared" si="1"/>
        <v>2295000</v>
      </c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</row>
    <row r="24" ht="15.0" customHeight="1">
      <c r="A24" s="296" t="s">
        <v>37</v>
      </c>
      <c r="B24" s="223">
        <v>1320000.0</v>
      </c>
      <c r="C24" s="231">
        <v>0.0</v>
      </c>
      <c r="D24" s="231">
        <v>0.0</v>
      </c>
      <c r="E24" s="231">
        <v>1320000.0</v>
      </c>
      <c r="F24" s="223">
        <v>0.0</v>
      </c>
      <c r="G24" s="223">
        <v>0.0</v>
      </c>
      <c r="H24" s="231">
        <v>1320000.0</v>
      </c>
      <c r="I24" s="231">
        <v>0.0</v>
      </c>
      <c r="J24" s="231">
        <v>0.0</v>
      </c>
      <c r="K24" s="297">
        <v>840000.0</v>
      </c>
      <c r="L24" s="231">
        <v>0.0</v>
      </c>
      <c r="M24" s="227"/>
      <c r="N24" s="244">
        <f t="shared" si="1"/>
        <v>4800000</v>
      </c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</row>
    <row r="25" ht="15.0" customHeight="1">
      <c r="A25" s="241" t="s">
        <v>148</v>
      </c>
      <c r="B25" s="265">
        <v>500000.0</v>
      </c>
      <c r="C25" s="231">
        <v>420000.0</v>
      </c>
      <c r="D25" s="231">
        <v>420000.0</v>
      </c>
      <c r="E25" s="231">
        <v>420000.0</v>
      </c>
      <c r="F25" s="231">
        <v>420000.0</v>
      </c>
      <c r="G25" s="231">
        <v>420000.0</v>
      </c>
      <c r="H25" s="231">
        <v>420000.0</v>
      </c>
      <c r="I25" s="231">
        <v>420000.0</v>
      </c>
      <c r="J25" s="231">
        <v>420000.0</v>
      </c>
      <c r="K25" s="231">
        <v>420000.0</v>
      </c>
      <c r="L25" s="231">
        <v>420000.0</v>
      </c>
      <c r="M25" s="231">
        <v>420000.0</v>
      </c>
      <c r="N25" s="244">
        <f t="shared" si="1"/>
        <v>5120000</v>
      </c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</row>
    <row r="26" ht="15.0" customHeight="1">
      <c r="A26" s="298" t="s">
        <v>50</v>
      </c>
      <c r="B26" s="227"/>
      <c r="C26" s="295">
        <v>260000.0</v>
      </c>
      <c r="D26" s="295">
        <v>260000.0</v>
      </c>
      <c r="E26" s="295">
        <v>260000.0</v>
      </c>
      <c r="F26" s="295">
        <v>280000.0</v>
      </c>
      <c r="G26" s="295">
        <v>280000.0</v>
      </c>
      <c r="H26" s="295">
        <v>280000.0</v>
      </c>
      <c r="I26" s="295">
        <v>280000.0</v>
      </c>
      <c r="J26" s="295">
        <v>280000.0</v>
      </c>
      <c r="K26" s="295">
        <v>280000.0</v>
      </c>
      <c r="L26" s="295">
        <v>280000.0</v>
      </c>
      <c r="M26" s="295">
        <v>280000.0</v>
      </c>
      <c r="N26" s="244">
        <f t="shared" si="1"/>
        <v>3020000</v>
      </c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</row>
    <row r="27" ht="15.0" customHeight="1">
      <c r="A27" s="221" t="s">
        <v>188</v>
      </c>
      <c r="B27" s="223">
        <v>0.0</v>
      </c>
      <c r="C27" s="223">
        <v>1050000.0</v>
      </c>
      <c r="D27" s="223">
        <v>0.0</v>
      </c>
      <c r="E27" s="223">
        <v>0.0</v>
      </c>
      <c r="F27" s="223">
        <v>0.0</v>
      </c>
      <c r="G27" s="223">
        <v>0.0</v>
      </c>
      <c r="H27" s="223">
        <v>0.0</v>
      </c>
      <c r="I27" s="223">
        <v>1050000.0</v>
      </c>
      <c r="J27" s="223">
        <v>0.0</v>
      </c>
      <c r="K27" s="223">
        <v>0.0</v>
      </c>
      <c r="L27" s="223">
        <v>0.0</v>
      </c>
      <c r="M27" s="223">
        <v>0.0</v>
      </c>
      <c r="N27" s="244">
        <f t="shared" si="1"/>
        <v>2100000</v>
      </c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  <c r="Z27" s="258"/>
    </row>
    <row r="28" ht="15.0" customHeight="1">
      <c r="A28" s="221" t="s">
        <v>689</v>
      </c>
      <c r="B28" s="227"/>
      <c r="C28" s="227"/>
      <c r="D28" s="227"/>
      <c r="E28" s="223">
        <v>350000.0</v>
      </c>
      <c r="F28" s="223">
        <v>350000.0</v>
      </c>
      <c r="G28" s="223">
        <v>350000.0</v>
      </c>
      <c r="H28" s="223">
        <v>350000.0</v>
      </c>
      <c r="I28" s="223">
        <v>350000.0</v>
      </c>
      <c r="J28" s="223">
        <v>350000.0</v>
      </c>
      <c r="K28" s="223">
        <v>350000.0</v>
      </c>
      <c r="L28" s="223">
        <v>350000.0</v>
      </c>
      <c r="M28" s="223">
        <v>350000.0</v>
      </c>
      <c r="N28" s="244">
        <f t="shared" si="1"/>
        <v>3150000</v>
      </c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</row>
    <row r="29" ht="15.0" customHeight="1">
      <c r="A29" s="229" t="s">
        <v>377</v>
      </c>
      <c r="B29" s="223">
        <v>450000.0</v>
      </c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44">
        <f t="shared" si="1"/>
        <v>450000</v>
      </c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</row>
    <row r="30" ht="15.0" customHeight="1">
      <c r="A30" s="229" t="s">
        <v>378</v>
      </c>
      <c r="B30" s="223">
        <v>350000.0</v>
      </c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44">
        <f t="shared" si="1"/>
        <v>350000</v>
      </c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</row>
    <row r="31" ht="15.0" customHeight="1">
      <c r="A31" s="229" t="s">
        <v>189</v>
      </c>
      <c r="B31" s="223">
        <v>350000.0</v>
      </c>
      <c r="C31" s="223">
        <v>350000.0</v>
      </c>
      <c r="D31" s="223">
        <v>350000.0</v>
      </c>
      <c r="E31" s="223">
        <v>350000.0</v>
      </c>
      <c r="F31" s="223">
        <v>350000.0</v>
      </c>
      <c r="G31" s="223">
        <v>450000.0</v>
      </c>
      <c r="H31" s="223">
        <v>250000.0</v>
      </c>
      <c r="I31" s="223">
        <v>350000.0</v>
      </c>
      <c r="J31" s="223">
        <v>350000.0</v>
      </c>
      <c r="K31" s="223">
        <v>350000.0</v>
      </c>
      <c r="L31" s="227"/>
      <c r="M31" s="227"/>
      <c r="N31" s="244">
        <f t="shared" si="1"/>
        <v>3500000</v>
      </c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  <c r="Z31" s="258"/>
    </row>
    <row r="32" ht="15.0" customHeight="1">
      <c r="A32" s="221" t="s">
        <v>690</v>
      </c>
      <c r="B32" s="223">
        <v>175000.0</v>
      </c>
      <c r="C32" s="223">
        <v>350000.0</v>
      </c>
      <c r="D32" s="223">
        <v>350000.0</v>
      </c>
      <c r="E32" s="223">
        <v>350000.0</v>
      </c>
      <c r="F32" s="223">
        <v>350000.0</v>
      </c>
      <c r="G32" s="223">
        <v>350000.0</v>
      </c>
      <c r="H32" s="223">
        <v>350000.0</v>
      </c>
      <c r="I32" s="223">
        <v>350000.0</v>
      </c>
      <c r="J32" s="223">
        <v>350000.0</v>
      </c>
      <c r="K32" s="223">
        <v>350000.0</v>
      </c>
      <c r="L32" s="223">
        <v>350000.0</v>
      </c>
      <c r="M32" s="227"/>
      <c r="N32" s="244">
        <f t="shared" si="1"/>
        <v>3675000</v>
      </c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</row>
    <row r="33" ht="15.0" customHeight="1">
      <c r="A33" s="221" t="s">
        <v>691</v>
      </c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3">
        <v>90000.0</v>
      </c>
      <c r="M33" s="223">
        <v>450000.0</v>
      </c>
      <c r="N33" s="244">
        <f t="shared" si="1"/>
        <v>540000</v>
      </c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</row>
    <row r="34" ht="15.0" customHeight="1">
      <c r="A34" s="221" t="s">
        <v>719</v>
      </c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3">
        <v>450000.0</v>
      </c>
      <c r="N34" s="244">
        <f t="shared" si="1"/>
        <v>450000</v>
      </c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</row>
    <row r="35" ht="15.0" customHeight="1">
      <c r="A35" s="229" t="s">
        <v>391</v>
      </c>
      <c r="B35" s="295">
        <v>250000.0</v>
      </c>
      <c r="C35" s="295">
        <v>340000.0</v>
      </c>
      <c r="D35" s="295">
        <v>340000.0</v>
      </c>
      <c r="E35" s="227"/>
      <c r="F35" s="227"/>
      <c r="G35" s="227"/>
      <c r="H35" s="227"/>
      <c r="I35" s="227"/>
      <c r="J35" s="227"/>
      <c r="K35" s="227"/>
      <c r="L35" s="227"/>
      <c r="M35" s="227"/>
      <c r="N35" s="244">
        <f t="shared" si="1"/>
        <v>930000</v>
      </c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</row>
    <row r="36" ht="15.0" customHeight="1">
      <c r="A36" s="229" t="s">
        <v>194</v>
      </c>
      <c r="B36" s="223">
        <v>350000.0</v>
      </c>
      <c r="C36" s="223">
        <v>350000.0</v>
      </c>
      <c r="D36" s="223">
        <v>350000.0</v>
      </c>
      <c r="E36" s="223">
        <v>350000.0</v>
      </c>
      <c r="F36" s="223">
        <v>350000.0</v>
      </c>
      <c r="G36" s="223">
        <v>350000.0</v>
      </c>
      <c r="H36" s="223">
        <v>350000.0</v>
      </c>
      <c r="I36" s="223">
        <v>350000.0</v>
      </c>
      <c r="J36" s="223">
        <v>350000.0</v>
      </c>
      <c r="K36" s="227"/>
      <c r="L36" s="227"/>
      <c r="M36" s="227"/>
      <c r="N36" s="244">
        <f t="shared" si="1"/>
        <v>3150000</v>
      </c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</row>
    <row r="37" ht="15.0" customHeight="1">
      <c r="A37" s="221" t="s">
        <v>196</v>
      </c>
      <c r="B37" s="223">
        <v>350000.0</v>
      </c>
      <c r="C37" s="223">
        <v>350000.0</v>
      </c>
      <c r="D37" s="223">
        <v>350000.0</v>
      </c>
      <c r="E37" s="223">
        <v>350000.0</v>
      </c>
      <c r="F37" s="223">
        <v>350000.0</v>
      </c>
      <c r="G37" s="223">
        <v>350000.0</v>
      </c>
      <c r="H37" s="223">
        <v>350000.0</v>
      </c>
      <c r="I37" s="223">
        <v>350000.0</v>
      </c>
      <c r="J37" s="223">
        <v>350000.0</v>
      </c>
      <c r="K37" s="223">
        <v>350000.0</v>
      </c>
      <c r="L37" s="223">
        <v>350000.0</v>
      </c>
      <c r="M37" s="227"/>
      <c r="N37" s="244">
        <f t="shared" si="1"/>
        <v>3850000</v>
      </c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</row>
    <row r="38" ht="15.0" customHeight="1">
      <c r="A38" s="221" t="s">
        <v>410</v>
      </c>
      <c r="B38" s="223">
        <v>320000.0</v>
      </c>
      <c r="C38" s="223">
        <v>380000.0</v>
      </c>
      <c r="D38" s="223">
        <v>350000.0</v>
      </c>
      <c r="E38" s="223">
        <v>350000.0</v>
      </c>
      <c r="F38" s="223">
        <v>350000.0</v>
      </c>
      <c r="G38" s="223">
        <v>350000.0</v>
      </c>
      <c r="H38" s="223">
        <v>350000.0</v>
      </c>
      <c r="I38" s="223">
        <v>350000.0</v>
      </c>
      <c r="J38" s="223">
        <v>350000.0</v>
      </c>
      <c r="K38" s="223">
        <v>350000.0</v>
      </c>
      <c r="L38" s="223">
        <v>350000.0</v>
      </c>
      <c r="M38" s="223">
        <v>350000.0</v>
      </c>
      <c r="N38" s="244">
        <f t="shared" si="1"/>
        <v>4200000</v>
      </c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</row>
    <row r="39" ht="15.0" customHeight="1">
      <c r="A39" s="221" t="s">
        <v>415</v>
      </c>
      <c r="B39" s="265">
        <v>450000.0</v>
      </c>
      <c r="C39" s="265">
        <v>450000.0</v>
      </c>
      <c r="D39" s="265">
        <v>450000.0</v>
      </c>
      <c r="E39" s="265">
        <v>450000.0</v>
      </c>
      <c r="F39" s="265">
        <v>450000.0</v>
      </c>
      <c r="G39" s="265">
        <v>450000.0</v>
      </c>
      <c r="H39" s="265">
        <v>450000.0</v>
      </c>
      <c r="I39" s="265">
        <v>450000.0</v>
      </c>
      <c r="J39" s="265">
        <v>450000.0</v>
      </c>
      <c r="K39" s="227"/>
      <c r="L39" s="265">
        <v>440000.0</v>
      </c>
      <c r="M39" s="265">
        <v>440000.0</v>
      </c>
      <c r="N39" s="244">
        <f t="shared" si="1"/>
        <v>4930000</v>
      </c>
      <c r="O39" s="259">
        <f>N39/4000</f>
        <v>1232.5</v>
      </c>
      <c r="P39" s="258"/>
      <c r="Q39" s="258"/>
      <c r="R39" s="258"/>
      <c r="S39" s="258"/>
      <c r="T39" s="258"/>
      <c r="U39" s="258"/>
      <c r="V39" s="258"/>
      <c r="W39" s="258"/>
      <c r="X39" s="258"/>
      <c r="Y39" s="258"/>
      <c r="Z39" s="258"/>
    </row>
    <row r="40" ht="15.0" customHeight="1">
      <c r="A40" s="229" t="s">
        <v>720</v>
      </c>
      <c r="B40" s="299">
        <v>180000.0</v>
      </c>
      <c r="C40" s="299">
        <v>360000.0</v>
      </c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44">
        <f t="shared" si="1"/>
        <v>540000</v>
      </c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  <c r="Z40" s="258"/>
    </row>
    <row r="41" ht="15.0" customHeight="1">
      <c r="A41" s="229" t="s">
        <v>721</v>
      </c>
      <c r="B41" s="223">
        <v>175000.0</v>
      </c>
      <c r="C41" s="223">
        <v>350000.0</v>
      </c>
      <c r="D41" s="223">
        <v>350000.0</v>
      </c>
      <c r="E41" s="223">
        <v>350000.0</v>
      </c>
      <c r="F41" s="223">
        <v>350000.0</v>
      </c>
      <c r="G41" s="223">
        <v>350000.0</v>
      </c>
      <c r="H41" s="227"/>
      <c r="I41" s="227"/>
      <c r="J41" s="227"/>
      <c r="K41" s="227"/>
      <c r="L41" s="227"/>
      <c r="M41" s="227"/>
      <c r="N41" s="244">
        <f t="shared" si="1"/>
        <v>1925000</v>
      </c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</row>
    <row r="42" ht="15.0" customHeight="1">
      <c r="A42" s="229" t="s">
        <v>722</v>
      </c>
      <c r="B42" s="227"/>
      <c r="C42" s="227"/>
      <c r="D42" s="223">
        <v>350000.0</v>
      </c>
      <c r="E42" s="223">
        <v>350000.0</v>
      </c>
      <c r="F42" s="223">
        <v>350000.0</v>
      </c>
      <c r="G42" s="223">
        <v>350000.0</v>
      </c>
      <c r="H42" s="223">
        <v>350000.0</v>
      </c>
      <c r="I42" s="227"/>
      <c r="J42" s="227"/>
      <c r="K42" s="227"/>
      <c r="L42" s="227"/>
      <c r="M42" s="227"/>
      <c r="N42" s="244">
        <f t="shared" si="1"/>
        <v>1750000</v>
      </c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  <c r="Z42" s="258"/>
    </row>
    <row r="43" ht="15.0" customHeight="1">
      <c r="A43" s="229" t="s">
        <v>154</v>
      </c>
      <c r="B43" s="223">
        <v>350000.0</v>
      </c>
      <c r="C43" s="223">
        <v>350000.0</v>
      </c>
      <c r="D43" s="223">
        <v>350000.0</v>
      </c>
      <c r="E43" s="223">
        <v>350000.0</v>
      </c>
      <c r="F43" s="223">
        <v>350000.0</v>
      </c>
      <c r="G43" s="227"/>
      <c r="H43" s="227"/>
      <c r="I43" s="227"/>
      <c r="J43" s="227"/>
      <c r="K43" s="227"/>
      <c r="L43" s="227"/>
      <c r="M43" s="227"/>
      <c r="N43" s="244">
        <f t="shared" si="1"/>
        <v>1750000</v>
      </c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</row>
    <row r="44" ht="15.0" customHeight="1">
      <c r="A44" s="229" t="s">
        <v>424</v>
      </c>
      <c r="B44" s="227"/>
      <c r="C44" s="227"/>
      <c r="D44" s="223">
        <v>93000.0</v>
      </c>
      <c r="E44" s="223">
        <v>350000.0</v>
      </c>
      <c r="F44" s="223">
        <v>350000.0</v>
      </c>
      <c r="G44" s="223">
        <v>350000.0</v>
      </c>
      <c r="H44" s="223">
        <v>350000.0</v>
      </c>
      <c r="I44" s="227"/>
      <c r="J44" s="227"/>
      <c r="K44" s="227"/>
      <c r="L44" s="227"/>
      <c r="M44" s="227"/>
      <c r="N44" s="244">
        <f t="shared" si="1"/>
        <v>1493000</v>
      </c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</row>
    <row r="45" ht="15.0" customHeight="1">
      <c r="A45" s="229" t="s">
        <v>723</v>
      </c>
      <c r="B45" s="295">
        <v>250000.0</v>
      </c>
      <c r="C45" s="295">
        <v>180000.0</v>
      </c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44">
        <f t="shared" si="1"/>
        <v>430000</v>
      </c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</row>
    <row r="46" ht="15.0" customHeight="1">
      <c r="A46" s="221" t="s">
        <v>693</v>
      </c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3">
        <v>225000.0</v>
      </c>
      <c r="N46" s="244">
        <f t="shared" si="1"/>
        <v>225000</v>
      </c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Y46" s="258"/>
      <c r="Z46" s="258"/>
    </row>
    <row r="47" ht="15.0" customHeight="1">
      <c r="A47" s="221" t="s">
        <v>13</v>
      </c>
      <c r="B47" s="265">
        <v>450000.0</v>
      </c>
      <c r="C47" s="265">
        <v>450000.0</v>
      </c>
      <c r="D47" s="223">
        <v>450000.0</v>
      </c>
      <c r="E47" s="223">
        <v>450000.0</v>
      </c>
      <c r="F47" s="223">
        <v>450000.0</v>
      </c>
      <c r="G47" s="223">
        <v>450000.0</v>
      </c>
      <c r="H47" s="223">
        <v>450000.0</v>
      </c>
      <c r="I47" s="223">
        <v>450000.0</v>
      </c>
      <c r="J47" s="223">
        <v>450000.0</v>
      </c>
      <c r="K47" s="223">
        <v>450000.0</v>
      </c>
      <c r="L47" s="223">
        <v>450000.0</v>
      </c>
      <c r="M47" s="223">
        <v>450000.0</v>
      </c>
      <c r="N47" s="244">
        <f t="shared" si="1"/>
        <v>5400000</v>
      </c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</row>
    <row r="48" ht="15.0" customHeight="1">
      <c r="A48" s="221" t="s">
        <v>436</v>
      </c>
      <c r="B48" s="265">
        <v>450000.0</v>
      </c>
      <c r="C48" s="265">
        <v>450000.0</v>
      </c>
      <c r="D48" s="265">
        <v>450000.0</v>
      </c>
      <c r="E48" s="265">
        <v>450000.0</v>
      </c>
      <c r="F48" s="265">
        <v>450000.0</v>
      </c>
      <c r="G48" s="265">
        <v>450000.0</v>
      </c>
      <c r="H48" s="265">
        <v>450000.0</v>
      </c>
      <c r="I48" s="265">
        <v>350000.0</v>
      </c>
      <c r="J48" s="265">
        <v>350000.0</v>
      </c>
      <c r="K48" s="265">
        <v>350000.0</v>
      </c>
      <c r="L48" s="265">
        <v>350000.0</v>
      </c>
      <c r="M48" s="265">
        <v>350000.0</v>
      </c>
      <c r="N48" s="244">
        <f t="shared" si="1"/>
        <v>4900000</v>
      </c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/>
    </row>
    <row r="49" ht="15.0" customHeight="1">
      <c r="A49" s="229" t="s">
        <v>724</v>
      </c>
      <c r="B49" s="227"/>
      <c r="C49" s="295">
        <v>340000.0</v>
      </c>
      <c r="D49" s="231">
        <v>1320000.0</v>
      </c>
      <c r="E49" s="231">
        <v>0.0</v>
      </c>
      <c r="F49" s="231">
        <v>0.0</v>
      </c>
      <c r="G49" s="227"/>
      <c r="H49" s="227"/>
      <c r="I49" s="227"/>
      <c r="J49" s="227"/>
      <c r="K49" s="227"/>
      <c r="L49" s="227"/>
      <c r="M49" s="227"/>
      <c r="N49" s="244">
        <f t="shared" si="1"/>
        <v>1660000</v>
      </c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</row>
    <row r="50" ht="15.0" customHeight="1">
      <c r="A50" s="229" t="s">
        <v>725</v>
      </c>
      <c r="B50" s="223">
        <v>225000.0</v>
      </c>
      <c r="C50" s="223">
        <v>450000.0</v>
      </c>
      <c r="D50" s="223">
        <v>450000.0</v>
      </c>
      <c r="E50" s="223">
        <v>450000.0</v>
      </c>
      <c r="F50" s="227"/>
      <c r="G50" s="227"/>
      <c r="H50" s="227"/>
      <c r="I50" s="227"/>
      <c r="J50" s="227"/>
      <c r="K50" s="227"/>
      <c r="L50" s="227"/>
      <c r="M50" s="227"/>
      <c r="N50" s="244">
        <f t="shared" si="1"/>
        <v>1575000</v>
      </c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258"/>
    </row>
    <row r="51" ht="15.0" customHeight="1">
      <c r="A51" s="241" t="s">
        <v>694</v>
      </c>
      <c r="B51" s="227"/>
      <c r="C51" s="227"/>
      <c r="D51" s="227"/>
      <c r="E51" s="227"/>
      <c r="F51" s="223">
        <v>180000.0</v>
      </c>
      <c r="G51" s="223">
        <v>450000.0</v>
      </c>
      <c r="H51" s="231">
        <v>450000.0</v>
      </c>
      <c r="I51" s="231">
        <v>450000.0</v>
      </c>
      <c r="J51" s="231">
        <v>450000.0</v>
      </c>
      <c r="K51" s="231">
        <v>450000.0</v>
      </c>
      <c r="L51" s="231">
        <v>450000.0</v>
      </c>
      <c r="M51" s="231">
        <v>450000.0</v>
      </c>
      <c r="N51" s="244">
        <f t="shared" si="1"/>
        <v>3330000</v>
      </c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Y51" s="258"/>
      <c r="Z51" s="258"/>
    </row>
    <row r="52" ht="15.0" customHeight="1">
      <c r="A52" s="229" t="s">
        <v>209</v>
      </c>
      <c r="B52" s="295">
        <v>250000.0</v>
      </c>
      <c r="C52" s="295">
        <v>390000.0</v>
      </c>
      <c r="D52" s="295">
        <v>390000.0</v>
      </c>
      <c r="E52" s="295">
        <v>390000.0</v>
      </c>
      <c r="F52" s="295">
        <v>280000.0</v>
      </c>
      <c r="G52" s="295">
        <v>390000.0</v>
      </c>
      <c r="H52" s="227"/>
      <c r="I52" s="227"/>
      <c r="J52" s="227"/>
      <c r="K52" s="227"/>
      <c r="L52" s="227"/>
      <c r="M52" s="227"/>
      <c r="N52" s="244">
        <f t="shared" si="1"/>
        <v>2090000</v>
      </c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</row>
    <row r="53" ht="15.0" customHeight="1">
      <c r="A53" s="229" t="s">
        <v>707</v>
      </c>
      <c r="B53" s="227"/>
      <c r="C53" s="227"/>
      <c r="D53" s="227"/>
      <c r="E53" s="227"/>
      <c r="F53" s="295">
        <v>340000.0</v>
      </c>
      <c r="G53" s="227"/>
      <c r="H53" s="227"/>
      <c r="I53" s="227"/>
      <c r="J53" s="227"/>
      <c r="K53" s="227"/>
      <c r="L53" s="227"/>
      <c r="M53" s="227"/>
      <c r="N53" s="244">
        <f t="shared" si="1"/>
        <v>340000</v>
      </c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</row>
    <row r="54" ht="15.0" customHeight="1">
      <c r="A54" s="229" t="s">
        <v>726</v>
      </c>
      <c r="B54" s="223">
        <v>350000.0</v>
      </c>
      <c r="C54" s="223">
        <v>350000.0</v>
      </c>
      <c r="D54" s="223">
        <v>350000.0</v>
      </c>
      <c r="E54" s="223">
        <v>350000.0</v>
      </c>
      <c r="F54" s="223">
        <v>350000.0</v>
      </c>
      <c r="G54" s="223">
        <v>350000.0</v>
      </c>
      <c r="H54" s="223">
        <v>350000.0</v>
      </c>
      <c r="I54" s="223">
        <v>350000.0</v>
      </c>
      <c r="J54" s="223">
        <v>350000.0</v>
      </c>
      <c r="K54" s="227"/>
      <c r="L54" s="227"/>
      <c r="M54" s="227"/>
      <c r="N54" s="244">
        <f t="shared" si="1"/>
        <v>3150000</v>
      </c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</row>
    <row r="55" ht="15.0" customHeight="1">
      <c r="A55" s="229" t="s">
        <v>462</v>
      </c>
      <c r="B55" s="223">
        <v>450000.0</v>
      </c>
      <c r="C55" s="231">
        <v>450000.0</v>
      </c>
      <c r="D55" s="223">
        <v>450000.0</v>
      </c>
      <c r="E55" s="223">
        <v>450000.0</v>
      </c>
      <c r="F55" s="223">
        <v>450000.0</v>
      </c>
      <c r="G55" s="223">
        <v>450000.0</v>
      </c>
      <c r="H55" s="223">
        <v>450000.0</v>
      </c>
      <c r="I55" s="231">
        <v>450000.0</v>
      </c>
      <c r="J55" s="223">
        <v>450000.0</v>
      </c>
      <c r="K55" s="227"/>
      <c r="L55" s="227"/>
      <c r="M55" s="227"/>
      <c r="N55" s="244">
        <f t="shared" si="1"/>
        <v>4050000</v>
      </c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</row>
    <row r="56" ht="15.0" customHeight="1">
      <c r="A56" s="229" t="s">
        <v>130</v>
      </c>
      <c r="B56" s="223">
        <v>380000.0</v>
      </c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1"/>
      <c r="N56" s="245">
        <f t="shared" si="1"/>
        <v>380000</v>
      </c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</row>
    <row r="57" ht="15.0" customHeight="1">
      <c r="A57" s="229" t="s">
        <v>727</v>
      </c>
      <c r="B57" s="295">
        <v>160000.0</v>
      </c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44">
        <f t="shared" si="1"/>
        <v>160000</v>
      </c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/>
    </row>
    <row r="58" ht="15.0" customHeight="1">
      <c r="A58" s="229" t="s">
        <v>471</v>
      </c>
      <c r="B58" s="295">
        <v>300000.0</v>
      </c>
      <c r="C58" s="295">
        <v>390000.0</v>
      </c>
      <c r="D58" s="295">
        <v>390000.0</v>
      </c>
      <c r="E58" s="295">
        <v>390000.0</v>
      </c>
      <c r="F58" s="295">
        <v>280000.0</v>
      </c>
      <c r="G58" s="295">
        <v>390000.0</v>
      </c>
      <c r="H58" s="227"/>
      <c r="I58" s="227"/>
      <c r="J58" s="227"/>
      <c r="K58" s="227"/>
      <c r="L58" s="227"/>
      <c r="M58" s="227"/>
      <c r="N58" s="244">
        <f t="shared" si="1"/>
        <v>2140000</v>
      </c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258"/>
    </row>
    <row r="59" ht="15.0" customHeight="1">
      <c r="A59" s="221" t="s">
        <v>697</v>
      </c>
      <c r="B59" s="227"/>
      <c r="C59" s="227"/>
      <c r="D59" s="227"/>
      <c r="E59" s="265">
        <v>450000.0</v>
      </c>
      <c r="F59" s="265">
        <v>450000.0</v>
      </c>
      <c r="G59" s="265">
        <v>450000.0</v>
      </c>
      <c r="H59" s="265">
        <v>450000.0</v>
      </c>
      <c r="I59" s="265">
        <v>450000.0</v>
      </c>
      <c r="J59" s="265">
        <v>450000.0</v>
      </c>
      <c r="K59" s="265">
        <v>450000.0</v>
      </c>
      <c r="L59" s="265">
        <v>450000.0</v>
      </c>
      <c r="M59" s="265">
        <v>450000.0</v>
      </c>
      <c r="N59" s="244">
        <f t="shared" si="1"/>
        <v>4050000</v>
      </c>
      <c r="O59" s="259">
        <f>N59/4000</f>
        <v>1012.5</v>
      </c>
      <c r="P59" s="258"/>
      <c r="Q59" s="258"/>
      <c r="R59" s="258"/>
      <c r="S59" s="258"/>
      <c r="T59" s="258"/>
      <c r="U59" s="258"/>
      <c r="V59" s="258"/>
      <c r="W59" s="258"/>
      <c r="X59" s="258"/>
      <c r="Y59" s="258"/>
      <c r="Z59" s="258"/>
    </row>
    <row r="60" ht="15.0" customHeight="1">
      <c r="A60" s="229" t="s">
        <v>66</v>
      </c>
      <c r="B60" s="223">
        <v>360000.0</v>
      </c>
      <c r="C60" s="223">
        <v>350000.0</v>
      </c>
      <c r="D60" s="223">
        <v>350000.0</v>
      </c>
      <c r="E60" s="223">
        <v>350000.0</v>
      </c>
      <c r="F60" s="223">
        <v>350000.0</v>
      </c>
      <c r="G60" s="223">
        <v>350000.0</v>
      </c>
      <c r="H60" s="223">
        <v>350000.0</v>
      </c>
      <c r="I60" s="223">
        <v>350000.0</v>
      </c>
      <c r="J60" s="227"/>
      <c r="K60" s="227"/>
      <c r="L60" s="227"/>
      <c r="M60" s="227"/>
      <c r="N60" s="244">
        <f t="shared" si="1"/>
        <v>2810000</v>
      </c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8"/>
    </row>
    <row r="61" ht="15.0" customHeight="1">
      <c r="A61" s="229" t="s">
        <v>205</v>
      </c>
      <c r="B61" s="295">
        <v>125000.0</v>
      </c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44">
        <f t="shared" si="1"/>
        <v>125000</v>
      </c>
      <c r="O61" s="258"/>
      <c r="P61" s="259">
        <f>O61+O62</f>
        <v>8901753.333</v>
      </c>
      <c r="Q61" s="258"/>
      <c r="R61" s="258"/>
      <c r="S61" s="258"/>
      <c r="T61" s="258"/>
      <c r="U61" s="258"/>
      <c r="V61" s="258"/>
      <c r="W61" s="258"/>
      <c r="X61" s="258"/>
      <c r="Y61" s="258"/>
      <c r="Z61" s="258"/>
    </row>
    <row r="62" ht="15.0" customHeight="1">
      <c r="A62" s="241" t="s">
        <v>698</v>
      </c>
      <c r="B62" s="245">
        <f t="shared" ref="B62:M62" si="2">SUM(B5:B61)*80%</f>
        <v>13848000</v>
      </c>
      <c r="C62" s="245">
        <f t="shared" si="2"/>
        <v>10496000</v>
      </c>
      <c r="D62" s="245">
        <f t="shared" si="2"/>
        <v>9782400</v>
      </c>
      <c r="E62" s="245">
        <f t="shared" si="2"/>
        <v>10064000</v>
      </c>
      <c r="F62" s="245">
        <f t="shared" si="2"/>
        <v>8664000</v>
      </c>
      <c r="G62" s="245">
        <f t="shared" si="2"/>
        <v>8872000</v>
      </c>
      <c r="H62" s="245">
        <f t="shared" si="2"/>
        <v>11296000</v>
      </c>
      <c r="I62" s="245">
        <f t="shared" si="2"/>
        <v>8360000</v>
      </c>
      <c r="J62" s="245">
        <f t="shared" si="2"/>
        <v>7384000</v>
      </c>
      <c r="K62" s="245">
        <f t="shared" si="2"/>
        <v>6704000</v>
      </c>
      <c r="L62" s="245">
        <f t="shared" si="2"/>
        <v>6112000</v>
      </c>
      <c r="M62" s="245">
        <f t="shared" si="2"/>
        <v>5238640</v>
      </c>
      <c r="N62" s="302">
        <f t="shared" si="1"/>
        <v>106821040</v>
      </c>
      <c r="O62" s="259">
        <f>N62/12</f>
        <v>8901753.333</v>
      </c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258"/>
    </row>
    <row r="63" ht="15.0" customHeight="1">
      <c r="A63" s="258"/>
      <c r="B63" s="259"/>
      <c r="C63" s="258"/>
      <c r="D63" s="258"/>
      <c r="E63" s="258"/>
      <c r="F63" s="258"/>
      <c r="G63" s="258"/>
      <c r="H63" s="258"/>
      <c r="I63" s="258"/>
      <c r="J63" s="258"/>
      <c r="K63" s="258"/>
      <c r="L63" s="258"/>
      <c r="M63" s="258"/>
      <c r="N63" s="258"/>
      <c r="O63" s="303"/>
      <c r="P63" s="258"/>
      <c r="Q63" s="259">
        <f>SUM(K5:K61)</f>
        <v>8380000</v>
      </c>
      <c r="R63" s="260" t="s">
        <v>728</v>
      </c>
      <c r="S63" s="258"/>
      <c r="T63" s="258"/>
      <c r="U63" s="258"/>
      <c r="V63" s="258"/>
      <c r="W63" s="258"/>
      <c r="X63" s="258"/>
      <c r="Y63" s="258"/>
      <c r="Z63" s="258"/>
    </row>
    <row r="64" ht="15.0" customHeight="1">
      <c r="A64" s="258"/>
      <c r="B64" s="259"/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Q64" s="259">
        <f>Q63-K62</f>
        <v>1676000</v>
      </c>
      <c r="R64" s="260" t="s">
        <v>729</v>
      </c>
      <c r="S64" s="258"/>
      <c r="T64" s="258"/>
      <c r="U64" s="258"/>
      <c r="V64" s="258"/>
      <c r="W64" s="258"/>
      <c r="X64" s="258"/>
      <c r="Y64" s="258"/>
      <c r="Z64" s="258"/>
    </row>
    <row r="65" ht="15.0" customHeight="1">
      <c r="A65" s="260" t="s">
        <v>730</v>
      </c>
      <c r="B65" s="304">
        <v>0.0</v>
      </c>
      <c r="C65" s="304">
        <v>480000.0</v>
      </c>
      <c r="D65" s="304">
        <v>560000.0</v>
      </c>
      <c r="E65" s="304">
        <v>480000.0</v>
      </c>
      <c r="F65" s="304">
        <v>160000.0</v>
      </c>
      <c r="G65" s="304">
        <v>160000.0</v>
      </c>
      <c r="H65" s="304">
        <v>400000.0</v>
      </c>
      <c r="I65" s="304">
        <v>380000.0</v>
      </c>
      <c r="J65" s="304">
        <v>410000.0</v>
      </c>
      <c r="K65" s="304">
        <v>190000.0</v>
      </c>
      <c r="L65" s="304">
        <v>500000.0</v>
      </c>
      <c r="M65" s="304">
        <v>400000.0</v>
      </c>
      <c r="N65" s="258"/>
      <c r="Q65" s="258"/>
      <c r="R65" s="258"/>
      <c r="S65" s="258"/>
      <c r="T65" s="258"/>
      <c r="U65" s="258"/>
      <c r="V65" s="258"/>
      <c r="W65" s="258"/>
      <c r="X65" s="258"/>
      <c r="Y65" s="258"/>
      <c r="Z65" s="258"/>
    </row>
    <row r="66" ht="15.0" customHeight="1">
      <c r="A66" s="260" t="s">
        <v>731</v>
      </c>
      <c r="B66" s="259">
        <f>SUM(B21+B25+B39+B47+B48)</f>
        <v>3140000</v>
      </c>
      <c r="C66" s="259">
        <f>C39+C47+C48</f>
        <v>1350000</v>
      </c>
      <c r="D66" s="259">
        <f>D39+D48</f>
        <v>900000</v>
      </c>
      <c r="E66" s="259">
        <f t="shared" ref="E66:K66" si="3">E39+E48+E59+E25</f>
        <v>1770000</v>
      </c>
      <c r="F66" s="259">
        <f t="shared" si="3"/>
        <v>1770000</v>
      </c>
      <c r="G66" s="259">
        <f t="shared" si="3"/>
        <v>1770000</v>
      </c>
      <c r="H66" s="259">
        <f t="shared" si="3"/>
        <v>1770000</v>
      </c>
      <c r="I66" s="259">
        <f t="shared" si="3"/>
        <v>1670000</v>
      </c>
      <c r="J66" s="259">
        <f t="shared" si="3"/>
        <v>1670000</v>
      </c>
      <c r="K66" s="259">
        <f t="shared" si="3"/>
        <v>1220000</v>
      </c>
      <c r="L66" s="259">
        <f t="shared" ref="L66:M66" si="4">L39+L48+L59</f>
        <v>1240000</v>
      </c>
      <c r="M66" s="259">
        <f t="shared" si="4"/>
        <v>1240000</v>
      </c>
      <c r="N66" s="258"/>
      <c r="Q66" s="259">
        <f>SUM(K5:K61)*85%</f>
        <v>7123000</v>
      </c>
      <c r="R66" s="260" t="s">
        <v>732</v>
      </c>
      <c r="S66" s="258"/>
      <c r="T66" s="258"/>
      <c r="U66" s="258"/>
      <c r="V66" s="258"/>
      <c r="W66" s="258"/>
      <c r="X66" s="258"/>
      <c r="Y66" s="258"/>
      <c r="Z66" s="258"/>
    </row>
    <row r="67" ht="15.0" customHeight="1">
      <c r="A67" s="283" t="s">
        <v>733</v>
      </c>
      <c r="B67" s="284">
        <f>SUM(B5:B61)+B91-B66+B65</f>
        <v>15150000</v>
      </c>
      <c r="C67" s="284">
        <f t="shared" ref="C67:D67" si="5">SUM(C5:C61)+C91+C65-C66</f>
        <v>13690000</v>
      </c>
      <c r="D67" s="284">
        <f t="shared" si="5"/>
        <v>13328000</v>
      </c>
      <c r="E67" s="284">
        <f t="shared" ref="E67:M67" si="6">SUM(E5:E61)+E65-E66</f>
        <v>11290000</v>
      </c>
      <c r="F67" s="284">
        <f t="shared" si="6"/>
        <v>9220000</v>
      </c>
      <c r="G67" s="284">
        <f t="shared" si="6"/>
        <v>9480000</v>
      </c>
      <c r="H67" s="284">
        <f t="shared" si="6"/>
        <v>12750000</v>
      </c>
      <c r="I67" s="284">
        <f t="shared" si="6"/>
        <v>9160000</v>
      </c>
      <c r="J67" s="284">
        <f t="shared" si="6"/>
        <v>7970000</v>
      </c>
      <c r="K67" s="284">
        <f t="shared" si="6"/>
        <v>7350000</v>
      </c>
      <c r="L67" s="284">
        <f t="shared" si="6"/>
        <v>6900000</v>
      </c>
      <c r="M67" s="284">
        <f t="shared" si="6"/>
        <v>5708300</v>
      </c>
      <c r="N67" s="258"/>
      <c r="Q67" s="259">
        <f>Q63-Q66</f>
        <v>1257000</v>
      </c>
      <c r="R67" s="260" t="s">
        <v>734</v>
      </c>
      <c r="S67" s="258"/>
      <c r="T67" s="258"/>
      <c r="U67" s="258"/>
      <c r="V67" s="258"/>
      <c r="W67" s="258"/>
      <c r="X67" s="258"/>
      <c r="Y67" s="258"/>
      <c r="Z67" s="258"/>
    </row>
    <row r="68" ht="15.0" customHeight="1">
      <c r="A68" s="305" t="s">
        <v>735</v>
      </c>
      <c r="B68" s="306">
        <v>2330000.0</v>
      </c>
      <c r="C68" s="306">
        <v>3150000.0</v>
      </c>
      <c r="D68" s="306">
        <v>3528000.0</v>
      </c>
      <c r="E68" s="306">
        <v>2450000.0</v>
      </c>
      <c r="F68" s="306">
        <v>1820000.0</v>
      </c>
      <c r="G68" s="306">
        <v>2030000.0</v>
      </c>
      <c r="H68" s="306">
        <v>2450000.0</v>
      </c>
      <c r="I68" s="306">
        <v>1585000.0</v>
      </c>
      <c r="J68" s="306">
        <v>1685000.0</v>
      </c>
      <c r="K68" s="307">
        <f t="shared" ref="K68:L68" si="7">K88+K99</f>
        <v>1890000</v>
      </c>
      <c r="L68" s="307">
        <f t="shared" si="7"/>
        <v>1285000</v>
      </c>
      <c r="M68" s="306">
        <v>770000.0</v>
      </c>
      <c r="N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</row>
    <row r="69" ht="15.0" customHeight="1">
      <c r="A69" s="308" t="s">
        <v>736</v>
      </c>
      <c r="B69" s="309">
        <f t="shared" ref="B69:M69" si="8">B67-B68</f>
        <v>12820000</v>
      </c>
      <c r="C69" s="309">
        <f t="shared" si="8"/>
        <v>10540000</v>
      </c>
      <c r="D69" s="309">
        <f t="shared" si="8"/>
        <v>9800000</v>
      </c>
      <c r="E69" s="309">
        <f t="shared" si="8"/>
        <v>8840000</v>
      </c>
      <c r="F69" s="309">
        <f t="shared" si="8"/>
        <v>7400000</v>
      </c>
      <c r="G69" s="309">
        <f t="shared" si="8"/>
        <v>7450000</v>
      </c>
      <c r="H69" s="309">
        <f t="shared" si="8"/>
        <v>10300000</v>
      </c>
      <c r="I69" s="309">
        <f t="shared" si="8"/>
        <v>7575000</v>
      </c>
      <c r="J69" s="309">
        <f t="shared" si="8"/>
        <v>6285000</v>
      </c>
      <c r="K69" s="309">
        <f t="shared" si="8"/>
        <v>5460000</v>
      </c>
      <c r="L69" s="309">
        <f t="shared" si="8"/>
        <v>5615000</v>
      </c>
      <c r="M69" s="309">
        <f t="shared" si="8"/>
        <v>4938300</v>
      </c>
      <c r="N69" s="259">
        <f>SUM(B69:M69)</f>
        <v>97023300</v>
      </c>
      <c r="O69" s="72">
        <f>N69/12</f>
        <v>8085275</v>
      </c>
      <c r="Q69" s="259">
        <f>Q64-Q67</f>
        <v>419000</v>
      </c>
      <c r="R69" s="260" t="s">
        <v>737</v>
      </c>
      <c r="S69" s="258"/>
      <c r="T69" s="258"/>
      <c r="U69" s="258"/>
      <c r="V69" s="258"/>
      <c r="W69" s="258"/>
      <c r="X69" s="258"/>
      <c r="Y69" s="258"/>
      <c r="Z69" s="258"/>
    </row>
    <row r="70" ht="15.0" customHeight="1">
      <c r="A70" s="260"/>
      <c r="B70" s="259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8"/>
      <c r="N70" s="258"/>
      <c r="R70" s="258"/>
      <c r="S70" s="258"/>
      <c r="T70" s="258"/>
      <c r="U70" s="258"/>
      <c r="V70" s="258"/>
      <c r="W70" s="258"/>
      <c r="X70" s="258"/>
      <c r="Y70" s="258"/>
      <c r="Z70" s="258"/>
    </row>
    <row r="71" ht="15.0" customHeight="1">
      <c r="A71" s="310" t="s">
        <v>738</v>
      </c>
      <c r="B71" s="311">
        <f t="shared" ref="B71:G71" si="9">B101/2</f>
        <v>1990000</v>
      </c>
      <c r="C71" s="311">
        <f t="shared" si="9"/>
        <v>1707500</v>
      </c>
      <c r="D71" s="311">
        <f t="shared" si="9"/>
        <v>1365000</v>
      </c>
      <c r="E71" s="311">
        <f t="shared" si="9"/>
        <v>1357500</v>
      </c>
      <c r="F71" s="311">
        <f t="shared" si="9"/>
        <v>1172500</v>
      </c>
      <c r="G71" s="311">
        <f t="shared" si="9"/>
        <v>1140000</v>
      </c>
      <c r="H71" s="311">
        <f t="shared" ref="H71:L71" si="10">H103/2</f>
        <v>1057500</v>
      </c>
      <c r="I71" s="311">
        <f t="shared" si="10"/>
        <v>667500</v>
      </c>
      <c r="J71" s="311">
        <f t="shared" si="10"/>
        <v>777500</v>
      </c>
      <c r="K71" s="311">
        <f t="shared" si="10"/>
        <v>1095000</v>
      </c>
      <c r="L71" s="311">
        <f t="shared" si="10"/>
        <v>568375</v>
      </c>
      <c r="M71" s="311">
        <f>M105/2</f>
        <v>182500</v>
      </c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258"/>
    </row>
    <row r="72" ht="15.0" customHeight="1">
      <c r="A72" s="283" t="s">
        <v>739</v>
      </c>
      <c r="B72" s="284">
        <f t="shared" ref="B72:M72" si="11">B62-B71</f>
        <v>11858000</v>
      </c>
      <c r="C72" s="284">
        <f t="shared" si="11"/>
        <v>8788500</v>
      </c>
      <c r="D72" s="284">
        <f t="shared" si="11"/>
        <v>8417400</v>
      </c>
      <c r="E72" s="284">
        <f t="shared" si="11"/>
        <v>8706500</v>
      </c>
      <c r="F72" s="284">
        <f t="shared" si="11"/>
        <v>7491500</v>
      </c>
      <c r="G72" s="284">
        <f t="shared" si="11"/>
        <v>7732000</v>
      </c>
      <c r="H72" s="284">
        <f t="shared" si="11"/>
        <v>10238500</v>
      </c>
      <c r="I72" s="284">
        <f t="shared" si="11"/>
        <v>7692500</v>
      </c>
      <c r="J72" s="284">
        <f t="shared" si="11"/>
        <v>6606500</v>
      </c>
      <c r="K72" s="284">
        <f t="shared" si="11"/>
        <v>5609000</v>
      </c>
      <c r="L72" s="284">
        <f t="shared" si="11"/>
        <v>5543625</v>
      </c>
      <c r="M72" s="284">
        <f t="shared" si="11"/>
        <v>5056140</v>
      </c>
      <c r="N72" s="259">
        <f>SUM(B72:M72)</f>
        <v>93740165</v>
      </c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</row>
    <row r="73" ht="15.0" customHeight="1">
      <c r="A73" s="258"/>
      <c r="B73" s="259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</row>
    <row r="74" ht="15.0" customHeight="1">
      <c r="A74" s="260" t="s">
        <v>740</v>
      </c>
      <c r="B74" s="312">
        <f t="shared" ref="B74:M74" si="12">B72-B69</f>
        <v>-962000</v>
      </c>
      <c r="C74" s="312">
        <f t="shared" si="12"/>
        <v>-1751500</v>
      </c>
      <c r="D74" s="312">
        <f t="shared" si="12"/>
        <v>-1382600</v>
      </c>
      <c r="E74" s="312">
        <f t="shared" si="12"/>
        <v>-133500</v>
      </c>
      <c r="F74" s="313">
        <f t="shared" si="12"/>
        <v>91500</v>
      </c>
      <c r="G74" s="313">
        <f t="shared" si="12"/>
        <v>282000</v>
      </c>
      <c r="H74" s="312">
        <f t="shared" si="12"/>
        <v>-61500</v>
      </c>
      <c r="I74" s="313">
        <f t="shared" si="12"/>
        <v>117500</v>
      </c>
      <c r="J74" s="313">
        <f t="shared" si="12"/>
        <v>321500</v>
      </c>
      <c r="K74" s="313">
        <f t="shared" si="12"/>
        <v>149000</v>
      </c>
      <c r="L74" s="313">
        <f t="shared" si="12"/>
        <v>-71375</v>
      </c>
      <c r="M74" s="313">
        <f t="shared" si="12"/>
        <v>117840</v>
      </c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/>
    </row>
    <row r="75" ht="15.0" customHeight="1">
      <c r="A75" s="314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Q75" s="260" t="s">
        <v>741</v>
      </c>
      <c r="R75" s="258"/>
      <c r="S75" s="258"/>
      <c r="T75" s="258"/>
      <c r="U75" s="258"/>
      <c r="V75" s="258"/>
      <c r="W75" s="258"/>
      <c r="X75" s="258"/>
      <c r="Y75" s="258"/>
      <c r="Z75" s="258"/>
    </row>
    <row r="76" ht="15.0" customHeight="1">
      <c r="A76" s="218" t="s">
        <v>1</v>
      </c>
      <c r="B76" s="218" t="s">
        <v>30</v>
      </c>
      <c r="C76" s="218" t="s">
        <v>31</v>
      </c>
      <c r="D76" s="218" t="s">
        <v>32</v>
      </c>
      <c r="E76" s="218" t="s">
        <v>33</v>
      </c>
      <c r="F76" s="218" t="s">
        <v>34</v>
      </c>
      <c r="G76" s="218" t="s">
        <v>35</v>
      </c>
      <c r="H76" s="218" t="s">
        <v>36</v>
      </c>
      <c r="I76" s="218" t="s">
        <v>2</v>
      </c>
      <c r="J76" s="218" t="s">
        <v>3</v>
      </c>
      <c r="K76" s="218" t="s">
        <v>4</v>
      </c>
      <c r="L76" s="218" t="s">
        <v>5</v>
      </c>
      <c r="M76" s="218" t="s">
        <v>6</v>
      </c>
      <c r="N76" s="294" t="s">
        <v>285</v>
      </c>
      <c r="Q76" s="271" t="s">
        <v>742</v>
      </c>
      <c r="R76" s="315">
        <v>440000.0</v>
      </c>
      <c r="S76" s="258"/>
      <c r="T76" s="258"/>
      <c r="V76" s="258"/>
      <c r="W76" s="258"/>
      <c r="X76" s="258"/>
      <c r="Y76" s="258"/>
      <c r="Z76" s="258"/>
    </row>
    <row r="77" ht="15.0" customHeight="1">
      <c r="A77" s="298" t="s">
        <v>743</v>
      </c>
      <c r="B77" s="227"/>
      <c r="C77" s="227"/>
      <c r="D77" s="227"/>
      <c r="E77" s="227"/>
      <c r="F77" s="227"/>
      <c r="G77" s="295">
        <v>360000.0</v>
      </c>
      <c r="H77" s="295">
        <v>360000.0</v>
      </c>
      <c r="I77" s="295">
        <v>360000.0</v>
      </c>
      <c r="J77" s="295">
        <v>360000.0</v>
      </c>
      <c r="K77" s="295">
        <v>360000.0</v>
      </c>
      <c r="L77" s="295">
        <v>180000.0</v>
      </c>
      <c r="M77" s="227"/>
      <c r="N77" s="244">
        <f t="shared" ref="N77:N89" si="13">SUM(B77:M77)</f>
        <v>1980000</v>
      </c>
      <c r="Q77" s="271" t="s">
        <v>744</v>
      </c>
      <c r="R77" s="272"/>
      <c r="S77" s="316"/>
      <c r="T77" s="316"/>
      <c r="V77" s="258"/>
      <c r="W77" s="258"/>
      <c r="X77" s="258"/>
      <c r="Y77" s="258"/>
      <c r="Z77" s="258"/>
    </row>
    <row r="78" ht="15.0" customHeight="1">
      <c r="A78" s="298" t="s">
        <v>549</v>
      </c>
      <c r="B78" s="295">
        <v>300000.0</v>
      </c>
      <c r="C78" s="295">
        <v>360000.0</v>
      </c>
      <c r="D78" s="295">
        <v>360000.0</v>
      </c>
      <c r="E78" s="295">
        <v>360000.0</v>
      </c>
      <c r="F78" s="295">
        <v>250000.0</v>
      </c>
      <c r="G78" s="295">
        <v>360000.0</v>
      </c>
      <c r="H78" s="295">
        <v>360000.0</v>
      </c>
      <c r="I78" s="295">
        <v>360000.0</v>
      </c>
      <c r="J78" s="295">
        <v>360000.0</v>
      </c>
      <c r="K78" s="295">
        <v>360000.0</v>
      </c>
      <c r="L78" s="295">
        <v>360000.0</v>
      </c>
      <c r="M78" s="295">
        <v>270000.0</v>
      </c>
      <c r="N78" s="244">
        <f t="shared" si="13"/>
        <v>4060000</v>
      </c>
      <c r="Q78" s="271" t="s">
        <v>745</v>
      </c>
      <c r="R78" s="111">
        <v>420000.0</v>
      </c>
      <c r="S78" s="317"/>
      <c r="T78" s="318"/>
      <c r="U78" s="258"/>
      <c r="V78" s="258"/>
      <c r="W78" s="258"/>
      <c r="X78" s="258"/>
      <c r="Y78" s="258"/>
      <c r="Z78" s="258"/>
    </row>
    <row r="79" ht="15.0" customHeight="1">
      <c r="A79" s="229" t="s">
        <v>746</v>
      </c>
      <c r="B79" s="227"/>
      <c r="C79" s="227"/>
      <c r="D79" s="227"/>
      <c r="E79" s="227"/>
      <c r="F79" s="227"/>
      <c r="G79" s="295">
        <v>360000.0</v>
      </c>
      <c r="H79" s="227"/>
      <c r="I79" s="227"/>
      <c r="J79" s="227"/>
      <c r="K79" s="227"/>
      <c r="L79" s="227"/>
      <c r="M79" s="227"/>
      <c r="N79" s="244">
        <f t="shared" si="13"/>
        <v>360000</v>
      </c>
      <c r="Q79" s="271" t="s">
        <v>747</v>
      </c>
      <c r="R79" s="315">
        <v>840000.0</v>
      </c>
      <c r="S79" s="319"/>
      <c r="T79" s="318"/>
      <c r="U79" s="258"/>
      <c r="V79" s="258"/>
      <c r="W79" s="258"/>
      <c r="X79" s="258"/>
      <c r="Y79" s="258"/>
      <c r="Z79" s="258"/>
    </row>
    <row r="80" ht="15.0" customHeight="1">
      <c r="A80" s="298" t="s">
        <v>705</v>
      </c>
      <c r="B80" s="295">
        <v>250000.0</v>
      </c>
      <c r="C80" s="295">
        <v>360000.0</v>
      </c>
      <c r="D80" s="295">
        <v>360000.0</v>
      </c>
      <c r="E80" s="295">
        <v>360000.0</v>
      </c>
      <c r="F80" s="295">
        <v>360000.0</v>
      </c>
      <c r="G80" s="295">
        <v>360000.0</v>
      </c>
      <c r="H80" s="295">
        <v>360000.0</v>
      </c>
      <c r="I80" s="295">
        <v>360000.0</v>
      </c>
      <c r="J80" s="295">
        <v>360000.0</v>
      </c>
      <c r="K80" s="295">
        <v>360000.0</v>
      </c>
      <c r="L80" s="295">
        <v>360000.0</v>
      </c>
      <c r="M80" s="295">
        <v>360000.0</v>
      </c>
      <c r="N80" s="244">
        <f t="shared" si="13"/>
        <v>4210000</v>
      </c>
      <c r="Q80" s="271" t="s">
        <v>748</v>
      </c>
      <c r="R80" s="315"/>
      <c r="S80" s="319"/>
      <c r="T80" s="318"/>
      <c r="U80" s="258"/>
      <c r="V80" s="258"/>
      <c r="W80" s="258"/>
      <c r="X80" s="258"/>
      <c r="Y80" s="258"/>
      <c r="Z80" s="258"/>
    </row>
    <row r="81" ht="15.0" customHeight="1">
      <c r="A81" s="298" t="s">
        <v>706</v>
      </c>
      <c r="B81" s="227"/>
      <c r="C81" s="295">
        <v>360000.0</v>
      </c>
      <c r="D81" s="295">
        <v>360000.0</v>
      </c>
      <c r="E81" s="295">
        <v>360000.0</v>
      </c>
      <c r="F81" s="227"/>
      <c r="G81" s="295">
        <v>360000.0</v>
      </c>
      <c r="H81" s="295">
        <v>360000.0</v>
      </c>
      <c r="I81" s="295">
        <v>360000.0</v>
      </c>
      <c r="J81" s="295">
        <v>360000.0</v>
      </c>
      <c r="K81" s="295">
        <v>360000.0</v>
      </c>
      <c r="L81" s="295">
        <v>360000.0</v>
      </c>
      <c r="M81" s="227"/>
      <c r="N81" s="244">
        <f t="shared" si="13"/>
        <v>3240000</v>
      </c>
      <c r="Q81" s="271" t="s">
        <v>749</v>
      </c>
      <c r="R81" s="315">
        <v>3600000.0</v>
      </c>
      <c r="S81" s="319"/>
      <c r="T81" s="318"/>
      <c r="U81" s="258"/>
      <c r="V81" s="258"/>
      <c r="W81" s="258"/>
      <c r="X81" s="258"/>
      <c r="Y81" s="258"/>
      <c r="Z81" s="258"/>
    </row>
    <row r="82" ht="15.0" customHeight="1">
      <c r="A82" s="229" t="s">
        <v>750</v>
      </c>
      <c r="B82" s="295">
        <v>180000.0</v>
      </c>
      <c r="C82" s="295">
        <v>360000.0</v>
      </c>
      <c r="D82" s="295">
        <v>360000.0</v>
      </c>
      <c r="E82" s="295">
        <v>360000.0</v>
      </c>
      <c r="F82" s="295">
        <v>360000.0</v>
      </c>
      <c r="G82" s="295">
        <v>144000.0</v>
      </c>
      <c r="H82" s="295">
        <v>360000.0</v>
      </c>
      <c r="I82" s="227"/>
      <c r="J82" s="227"/>
      <c r="K82" s="227"/>
      <c r="L82" s="227"/>
      <c r="M82" s="227"/>
      <c r="N82" s="244">
        <f t="shared" si="13"/>
        <v>2124000</v>
      </c>
      <c r="Q82" s="271" t="s">
        <v>751</v>
      </c>
      <c r="R82" s="315">
        <v>1680000.0</v>
      </c>
      <c r="S82" s="319"/>
      <c r="T82" s="318"/>
      <c r="U82" s="258"/>
      <c r="V82" s="258"/>
      <c r="W82" s="258"/>
      <c r="X82" s="258"/>
      <c r="Y82" s="258"/>
      <c r="Z82" s="258"/>
    </row>
    <row r="83" ht="15.0" customHeight="1">
      <c r="A83" s="298" t="s">
        <v>707</v>
      </c>
      <c r="B83" s="227"/>
      <c r="C83" s="227"/>
      <c r="D83" s="227"/>
      <c r="E83" s="227"/>
      <c r="F83" s="227"/>
      <c r="G83" s="227"/>
      <c r="H83" s="295">
        <v>180000.0</v>
      </c>
      <c r="I83" s="295">
        <v>360000.0</v>
      </c>
      <c r="J83" s="295">
        <v>360000.0</v>
      </c>
      <c r="K83" s="295">
        <v>360000.0</v>
      </c>
      <c r="L83" s="295">
        <v>360000.0</v>
      </c>
      <c r="M83" s="295">
        <v>360000.0</v>
      </c>
      <c r="N83" s="244">
        <f t="shared" si="13"/>
        <v>1980000</v>
      </c>
      <c r="Q83" s="271" t="s">
        <v>752</v>
      </c>
      <c r="R83" s="315">
        <v>440000.0</v>
      </c>
      <c r="S83" s="319"/>
      <c r="T83" s="318"/>
      <c r="U83" s="258"/>
      <c r="V83" s="258"/>
      <c r="W83" s="258"/>
      <c r="X83" s="258"/>
      <c r="Y83" s="258"/>
      <c r="Z83" s="258"/>
    </row>
    <row r="84" ht="15.0" customHeight="1">
      <c r="A84" s="298" t="s">
        <v>753</v>
      </c>
      <c r="B84" s="227"/>
      <c r="C84" s="227"/>
      <c r="D84" s="227"/>
      <c r="E84" s="227"/>
      <c r="F84" s="227"/>
      <c r="G84" s="295">
        <v>120000.0</v>
      </c>
      <c r="H84" s="295">
        <v>180000.0</v>
      </c>
      <c r="I84" s="295">
        <v>180000.0</v>
      </c>
      <c r="J84" s="295">
        <v>0.0</v>
      </c>
      <c r="K84" s="295">
        <v>180000.0</v>
      </c>
      <c r="L84" s="295">
        <v>60000.0</v>
      </c>
      <c r="M84" s="227"/>
      <c r="N84" s="244">
        <f t="shared" si="13"/>
        <v>720000</v>
      </c>
      <c r="Q84" s="271" t="s">
        <v>754</v>
      </c>
      <c r="R84" s="315">
        <f>R81-R82-R83</f>
        <v>1480000</v>
      </c>
      <c r="S84" s="319"/>
      <c r="T84" s="318"/>
      <c r="U84" s="258"/>
      <c r="V84" s="258"/>
      <c r="W84" s="258"/>
      <c r="X84" s="258"/>
      <c r="Y84" s="258"/>
      <c r="Z84" s="258"/>
    </row>
    <row r="85" ht="15.0" customHeight="1">
      <c r="A85" s="229" t="s">
        <v>195</v>
      </c>
      <c r="B85" s="295">
        <v>250000.0</v>
      </c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44">
        <f t="shared" si="13"/>
        <v>250000</v>
      </c>
      <c r="Q85" s="272"/>
      <c r="R85" s="271"/>
      <c r="S85" s="319"/>
      <c r="T85" s="318"/>
      <c r="U85" s="258"/>
      <c r="V85" s="258"/>
      <c r="W85" s="258"/>
      <c r="X85" s="258"/>
      <c r="Y85" s="258"/>
      <c r="Z85" s="258"/>
    </row>
    <row r="86" ht="15.0" customHeight="1">
      <c r="A86" s="298" t="s">
        <v>708</v>
      </c>
      <c r="B86" s="227"/>
      <c r="C86" s="227"/>
      <c r="D86" s="227"/>
      <c r="E86" s="227"/>
      <c r="F86" s="227"/>
      <c r="G86" s="227"/>
      <c r="H86" s="295">
        <v>80000.0</v>
      </c>
      <c r="I86" s="295">
        <v>0.0</v>
      </c>
      <c r="J86" s="295">
        <v>120000.0</v>
      </c>
      <c r="K86" s="295">
        <v>0.0</v>
      </c>
      <c r="L86" s="295">
        <v>0.0</v>
      </c>
      <c r="M86" s="295">
        <v>0.0</v>
      </c>
      <c r="N86" s="244">
        <f t="shared" si="13"/>
        <v>200000</v>
      </c>
      <c r="Q86" s="271" t="s">
        <v>755</v>
      </c>
      <c r="R86" s="315">
        <v>1440000.0</v>
      </c>
      <c r="S86" s="319"/>
      <c r="T86" s="318"/>
      <c r="U86" s="258"/>
      <c r="V86" s="258"/>
      <c r="W86" s="258"/>
      <c r="X86" s="258"/>
      <c r="Y86" s="258"/>
      <c r="Z86" s="258"/>
    </row>
    <row r="87" ht="15.0" customHeight="1">
      <c r="A87" s="241" t="s">
        <v>756</v>
      </c>
      <c r="B87" s="245">
        <f t="shared" ref="B87:E87" si="14">SUM(B78:B85)*70%</f>
        <v>686000</v>
      </c>
      <c r="C87" s="245">
        <f t="shared" si="14"/>
        <v>1008000</v>
      </c>
      <c r="D87" s="245">
        <f t="shared" si="14"/>
        <v>1008000</v>
      </c>
      <c r="E87" s="245">
        <f t="shared" si="14"/>
        <v>1008000</v>
      </c>
      <c r="F87" s="245">
        <f t="shared" ref="F87:G87" si="15">SUM(F77:F85)*70%</f>
        <v>679000</v>
      </c>
      <c r="G87" s="245">
        <f t="shared" si="15"/>
        <v>1444800</v>
      </c>
      <c r="H87" s="245">
        <f t="shared" ref="H87:L87" si="16">SUM(H77:H86)*70%</f>
        <v>1568000</v>
      </c>
      <c r="I87" s="245">
        <f t="shared" si="16"/>
        <v>1386000</v>
      </c>
      <c r="J87" s="245">
        <f t="shared" si="16"/>
        <v>1344000</v>
      </c>
      <c r="K87" s="245">
        <f t="shared" si="16"/>
        <v>1386000</v>
      </c>
      <c r="L87" s="245">
        <f t="shared" si="16"/>
        <v>1176000</v>
      </c>
      <c r="M87" s="245">
        <f>SUM(M77:M86)</f>
        <v>990000</v>
      </c>
      <c r="N87" s="245">
        <f t="shared" si="13"/>
        <v>13683800</v>
      </c>
      <c r="Q87" s="271" t="s">
        <v>751</v>
      </c>
      <c r="R87" s="315">
        <v>840000.0</v>
      </c>
      <c r="S87" s="319"/>
      <c r="T87" s="318"/>
      <c r="U87" s="258"/>
      <c r="V87" s="258"/>
      <c r="W87" s="258"/>
      <c r="X87" s="258"/>
      <c r="Y87" s="258"/>
      <c r="Z87" s="258"/>
    </row>
    <row r="88" ht="15.0" customHeight="1">
      <c r="A88" s="226" t="s">
        <v>614</v>
      </c>
      <c r="B88" s="228">
        <v>130000.0</v>
      </c>
      <c r="C88" s="228">
        <v>245000.0</v>
      </c>
      <c r="D88" s="228">
        <v>280000.0</v>
      </c>
      <c r="E88" s="228">
        <v>245000.0</v>
      </c>
      <c r="F88" s="228">
        <v>210000.0</v>
      </c>
      <c r="G88" s="228">
        <v>280000.0</v>
      </c>
      <c r="H88" s="228">
        <v>385000.0</v>
      </c>
      <c r="I88" s="228">
        <v>300000.0</v>
      </c>
      <c r="J88" s="228">
        <v>245000.0</v>
      </c>
      <c r="K88" s="228">
        <v>350000.0</v>
      </c>
      <c r="L88" s="228">
        <v>560000.0</v>
      </c>
      <c r="M88" s="228"/>
      <c r="N88" s="285">
        <f t="shared" si="13"/>
        <v>3230000</v>
      </c>
      <c r="Q88" s="271" t="s">
        <v>752</v>
      </c>
      <c r="R88" s="315">
        <v>500000.0</v>
      </c>
      <c r="S88" s="319"/>
      <c r="T88" s="318"/>
      <c r="U88" s="258"/>
      <c r="V88" s="258"/>
      <c r="W88" s="258"/>
      <c r="X88" s="258"/>
      <c r="Y88" s="258"/>
      <c r="Z88" s="258"/>
    </row>
    <row r="89" ht="15.0" customHeight="1">
      <c r="A89" s="320" t="s">
        <v>756</v>
      </c>
      <c r="B89" s="321">
        <f t="shared" ref="B89:K89" si="17">B87-B88</f>
        <v>556000</v>
      </c>
      <c r="C89" s="321">
        <f t="shared" si="17"/>
        <v>763000</v>
      </c>
      <c r="D89" s="321">
        <f t="shared" si="17"/>
        <v>728000</v>
      </c>
      <c r="E89" s="321">
        <f t="shared" si="17"/>
        <v>763000</v>
      </c>
      <c r="F89" s="321">
        <f t="shared" si="17"/>
        <v>469000</v>
      </c>
      <c r="G89" s="321">
        <f t="shared" si="17"/>
        <v>1164800</v>
      </c>
      <c r="H89" s="321">
        <f t="shared" si="17"/>
        <v>1183000</v>
      </c>
      <c r="I89" s="321">
        <f t="shared" si="17"/>
        <v>1086000</v>
      </c>
      <c r="J89" s="321">
        <f t="shared" si="17"/>
        <v>1099000</v>
      </c>
      <c r="K89" s="321">
        <f t="shared" si="17"/>
        <v>1036000</v>
      </c>
      <c r="L89" s="322">
        <v>668000.0</v>
      </c>
      <c r="M89" s="322"/>
      <c r="N89" s="323">
        <f t="shared" si="13"/>
        <v>9515800</v>
      </c>
      <c r="Q89" s="271"/>
      <c r="R89" s="315">
        <f>R86-R87-R88</f>
        <v>100000</v>
      </c>
      <c r="S89" s="319"/>
      <c r="T89" s="318"/>
      <c r="U89" s="258"/>
      <c r="V89" s="258"/>
      <c r="W89" s="258"/>
      <c r="X89" s="258"/>
      <c r="Y89" s="258"/>
      <c r="Z89" s="258"/>
    </row>
    <row r="90" ht="15.0" customHeight="1">
      <c r="A90" s="258"/>
      <c r="B90" s="258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Q90" s="271" t="s">
        <v>757</v>
      </c>
      <c r="R90" s="112"/>
      <c r="S90" s="319"/>
      <c r="T90" s="318"/>
      <c r="U90" s="258"/>
      <c r="V90" s="258"/>
      <c r="W90" s="258"/>
      <c r="X90" s="258"/>
      <c r="Y90" s="258"/>
      <c r="Z90" s="258"/>
    </row>
    <row r="91" ht="22.5" customHeight="1">
      <c r="A91" s="324" t="s">
        <v>758</v>
      </c>
      <c r="B91" s="284">
        <f t="shared" ref="B91:D91" si="18">SUM(B78:B85)</f>
        <v>980000</v>
      </c>
      <c r="C91" s="284">
        <f t="shared" si="18"/>
        <v>1440000</v>
      </c>
      <c r="D91" s="284">
        <f t="shared" si="18"/>
        <v>1440000</v>
      </c>
      <c r="E91" s="283">
        <v>0.0</v>
      </c>
      <c r="F91" s="283">
        <v>0.0</v>
      </c>
      <c r="G91" s="283">
        <v>0.0</v>
      </c>
      <c r="H91" s="283">
        <v>0.0</v>
      </c>
      <c r="I91" s="283">
        <v>0.0</v>
      </c>
      <c r="J91" s="283">
        <v>0.0</v>
      </c>
      <c r="K91" s="283">
        <v>0.0</v>
      </c>
      <c r="L91" s="283">
        <v>0.0</v>
      </c>
      <c r="M91" s="283">
        <v>0.0</v>
      </c>
      <c r="N91" s="258"/>
      <c r="Q91" s="17" t="s">
        <v>759</v>
      </c>
      <c r="S91" s="319"/>
      <c r="T91" s="318"/>
      <c r="U91" s="258"/>
      <c r="V91" s="258"/>
      <c r="W91" s="258"/>
      <c r="X91" s="258"/>
      <c r="Y91" s="258"/>
      <c r="Z91" s="258"/>
    </row>
    <row r="92" ht="15.0" customHeight="1">
      <c r="A92" s="260" t="s">
        <v>760</v>
      </c>
      <c r="B92" s="259">
        <f>SUM(B77:B85)</f>
        <v>980000</v>
      </c>
      <c r="C92" s="258"/>
      <c r="D92" s="258"/>
      <c r="E92" s="259">
        <f t="shared" ref="E92:F92" si="19">SUM(E78:E82)</f>
        <v>1440000</v>
      </c>
      <c r="F92" s="259">
        <f t="shared" si="19"/>
        <v>970000</v>
      </c>
      <c r="G92" s="259">
        <f>SUM(G77:G85)</f>
        <v>2064000</v>
      </c>
      <c r="H92" s="259">
        <f t="shared" ref="H92:L92" si="20">SUM(H77:H86)</f>
        <v>2240000</v>
      </c>
      <c r="I92" s="259">
        <f t="shared" si="20"/>
        <v>1980000</v>
      </c>
      <c r="J92" s="259">
        <f t="shared" si="20"/>
        <v>1920000</v>
      </c>
      <c r="K92" s="259">
        <f t="shared" si="20"/>
        <v>1980000</v>
      </c>
      <c r="L92" s="259">
        <f t="shared" si="20"/>
        <v>1680000</v>
      </c>
      <c r="M92" s="260">
        <v>0.0</v>
      </c>
      <c r="N92" s="258"/>
      <c r="Q92" s="325" t="s">
        <v>755</v>
      </c>
      <c r="R92" s="326">
        <v>1440000.0</v>
      </c>
      <c r="U92" s="258"/>
      <c r="V92" s="258"/>
      <c r="W92" s="258"/>
      <c r="X92" s="258"/>
      <c r="Y92" s="258"/>
      <c r="Z92" s="258"/>
    </row>
    <row r="93" ht="15.0" customHeight="1">
      <c r="A93" s="260" t="s">
        <v>761</v>
      </c>
      <c r="B93" s="258"/>
      <c r="C93" s="258"/>
      <c r="D93" s="258"/>
      <c r="E93" s="259">
        <f t="shared" ref="E93:K93" si="21">E89+E98</f>
        <v>1063000</v>
      </c>
      <c r="F93" s="259">
        <f t="shared" si="21"/>
        <v>769000</v>
      </c>
      <c r="G93" s="259">
        <f t="shared" si="21"/>
        <v>1464800</v>
      </c>
      <c r="H93" s="259">
        <f t="shared" si="21"/>
        <v>1483000</v>
      </c>
      <c r="I93" s="259">
        <f t="shared" si="21"/>
        <v>1386000</v>
      </c>
      <c r="J93" s="259">
        <f t="shared" si="21"/>
        <v>1399000</v>
      </c>
      <c r="K93" s="259">
        <f t="shared" si="21"/>
        <v>1336000</v>
      </c>
      <c r="L93" s="304">
        <v>448000.0</v>
      </c>
      <c r="M93" s="260">
        <v>0.0</v>
      </c>
      <c r="N93" s="258"/>
      <c r="Q93" s="31" t="s">
        <v>762</v>
      </c>
      <c r="R93" s="126">
        <v>480000.0</v>
      </c>
      <c r="S93" s="327"/>
      <c r="T93" s="327"/>
      <c r="U93" s="258"/>
      <c r="V93" s="258"/>
      <c r="W93" s="258"/>
      <c r="X93" s="258"/>
      <c r="Y93" s="258"/>
      <c r="Z93" s="258"/>
    </row>
    <row r="94" ht="15.0" customHeight="1">
      <c r="A94" s="260"/>
      <c r="B94" s="258"/>
      <c r="C94" s="258"/>
      <c r="D94" s="258"/>
      <c r="E94" s="312">
        <f t="shared" ref="E94:K94" si="22">E93-E92</f>
        <v>-377000</v>
      </c>
      <c r="F94" s="312">
        <f t="shared" si="22"/>
        <v>-201000</v>
      </c>
      <c r="G94" s="312">
        <f t="shared" si="22"/>
        <v>-599200</v>
      </c>
      <c r="H94" s="312">
        <f t="shared" si="22"/>
        <v>-757000</v>
      </c>
      <c r="I94" s="312">
        <f t="shared" si="22"/>
        <v>-594000</v>
      </c>
      <c r="J94" s="312">
        <f t="shared" si="22"/>
        <v>-521000</v>
      </c>
      <c r="K94" s="312">
        <f t="shared" si="22"/>
        <v>-644000</v>
      </c>
      <c r="L94" s="328">
        <v>0.0</v>
      </c>
      <c r="M94" s="328">
        <v>0.0</v>
      </c>
      <c r="N94" s="258"/>
      <c r="Q94" s="325" t="s">
        <v>751</v>
      </c>
      <c r="R94" s="208">
        <v>1680000.0</v>
      </c>
      <c r="S94" s="327"/>
      <c r="T94" s="327"/>
      <c r="U94" s="258"/>
      <c r="V94" s="258"/>
      <c r="W94" s="258"/>
      <c r="X94" s="258"/>
      <c r="Y94" s="258"/>
      <c r="Z94" s="258"/>
    </row>
    <row r="95" ht="15.0" customHeight="1">
      <c r="A95" s="258"/>
      <c r="B95" s="258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Q95" s="325" t="s">
        <v>752</v>
      </c>
      <c r="R95" s="326">
        <v>500000.0</v>
      </c>
      <c r="S95" s="327"/>
      <c r="T95" s="327"/>
      <c r="U95" s="258"/>
      <c r="V95" s="258"/>
      <c r="W95" s="258"/>
      <c r="X95" s="258"/>
      <c r="Y95" s="258"/>
      <c r="Z95" s="258"/>
    </row>
    <row r="96" ht="15.0" customHeight="1">
      <c r="A96" s="218" t="s">
        <v>1</v>
      </c>
      <c r="B96" s="218" t="s">
        <v>30</v>
      </c>
      <c r="C96" s="218" t="s">
        <v>31</v>
      </c>
      <c r="D96" s="218" t="s">
        <v>32</v>
      </c>
      <c r="E96" s="218" t="s">
        <v>33</v>
      </c>
      <c r="F96" s="218" t="s">
        <v>34</v>
      </c>
      <c r="G96" s="218" t="s">
        <v>35</v>
      </c>
      <c r="H96" s="218" t="s">
        <v>36</v>
      </c>
      <c r="I96" s="218" t="s">
        <v>2</v>
      </c>
      <c r="J96" s="218" t="s">
        <v>3</v>
      </c>
      <c r="K96" s="218" t="s">
        <v>4</v>
      </c>
      <c r="L96" s="218" t="s">
        <v>5</v>
      </c>
      <c r="M96" s="218" t="s">
        <v>6</v>
      </c>
      <c r="N96" s="294" t="s">
        <v>642</v>
      </c>
      <c r="O96" s="294" t="s">
        <v>763</v>
      </c>
      <c r="Q96" s="325" t="s">
        <v>764</v>
      </c>
      <c r="R96" s="329">
        <f>R92+R93-R94-R95</f>
        <v>-260000</v>
      </c>
      <c r="S96" s="327"/>
      <c r="T96" s="327"/>
      <c r="U96" s="258"/>
      <c r="V96" s="258"/>
      <c r="W96" s="258"/>
      <c r="X96" s="258"/>
      <c r="Y96" s="258"/>
      <c r="Z96" s="258"/>
    </row>
    <row r="97" ht="15.0" customHeight="1">
      <c r="A97" s="221" t="s">
        <v>709</v>
      </c>
      <c r="B97" s="223">
        <v>220000.0</v>
      </c>
      <c r="C97" s="223">
        <v>210000.0</v>
      </c>
      <c r="D97" s="223">
        <v>210000.0</v>
      </c>
      <c r="E97" s="223">
        <v>210000.0</v>
      </c>
      <c r="F97" s="223">
        <v>210000.0</v>
      </c>
      <c r="G97" s="223">
        <v>230000.0</v>
      </c>
      <c r="H97" s="223">
        <v>230000.0</v>
      </c>
      <c r="I97" s="223">
        <v>210000.0</v>
      </c>
      <c r="J97" s="223">
        <v>210000.0</v>
      </c>
      <c r="K97" s="223">
        <v>200000.0</v>
      </c>
      <c r="L97" s="223">
        <v>200000.0</v>
      </c>
      <c r="M97" s="223">
        <v>195000.0</v>
      </c>
      <c r="N97" s="244">
        <f t="shared" ref="N97:N103" si="23">SUM(B97:M97)</f>
        <v>2535000</v>
      </c>
      <c r="O97" s="330">
        <f t="shared" ref="O97:O103" si="24">N97/12</f>
        <v>211250</v>
      </c>
      <c r="S97" s="258"/>
      <c r="T97" s="258"/>
      <c r="U97" s="258"/>
      <c r="V97" s="258"/>
      <c r="W97" s="258"/>
      <c r="X97" s="258"/>
      <c r="Y97" s="258"/>
      <c r="Z97" s="258"/>
    </row>
    <row r="98" ht="15.0" customHeight="1">
      <c r="A98" s="221" t="s">
        <v>528</v>
      </c>
      <c r="B98" s="223">
        <v>300000.0</v>
      </c>
      <c r="C98" s="223">
        <v>300000.0</v>
      </c>
      <c r="D98" s="223">
        <v>300000.0</v>
      </c>
      <c r="E98" s="223">
        <v>300000.0</v>
      </c>
      <c r="F98" s="223">
        <v>300000.0</v>
      </c>
      <c r="G98" s="223">
        <v>300000.0</v>
      </c>
      <c r="H98" s="223">
        <v>300000.0</v>
      </c>
      <c r="I98" s="223">
        <v>300000.0</v>
      </c>
      <c r="J98" s="223">
        <v>300000.0</v>
      </c>
      <c r="K98" s="223">
        <v>300000.0</v>
      </c>
      <c r="L98" s="223">
        <v>0.0</v>
      </c>
      <c r="M98" s="223">
        <v>300000.0</v>
      </c>
      <c r="N98" s="244">
        <f t="shared" si="23"/>
        <v>3300000</v>
      </c>
      <c r="O98" s="330">
        <f t="shared" si="24"/>
        <v>275000</v>
      </c>
      <c r="S98" s="258"/>
      <c r="T98" s="258"/>
      <c r="U98" s="258"/>
      <c r="V98" s="258"/>
      <c r="W98" s="258"/>
      <c r="X98" s="258"/>
      <c r="Y98" s="258"/>
      <c r="Z98" s="258"/>
    </row>
    <row r="99" ht="15.0" customHeight="1">
      <c r="A99" s="221" t="s">
        <v>614</v>
      </c>
      <c r="B99" s="223">
        <f>2040000+B88</f>
        <v>2170000</v>
      </c>
      <c r="C99" s="223">
        <v>2905000.0</v>
      </c>
      <c r="D99" s="223">
        <v>2220000.0</v>
      </c>
      <c r="E99" s="223">
        <v>2205000.0</v>
      </c>
      <c r="F99" s="223">
        <v>1610000.0</v>
      </c>
      <c r="G99" s="223">
        <v>1750000.0</v>
      </c>
      <c r="H99" s="223">
        <v>2065000.0</v>
      </c>
      <c r="I99" s="223">
        <v>1285000.0</v>
      </c>
      <c r="J99" s="223">
        <v>1365000.0</v>
      </c>
      <c r="K99" s="223">
        <v>1540000.0</v>
      </c>
      <c r="L99" s="223">
        <v>725000.0</v>
      </c>
      <c r="M99" s="223">
        <v>770000.0</v>
      </c>
      <c r="N99" s="244">
        <f t="shared" si="23"/>
        <v>20610000</v>
      </c>
      <c r="O99" s="330">
        <f t="shared" si="24"/>
        <v>1717500</v>
      </c>
      <c r="Q99" s="331" t="s">
        <v>765</v>
      </c>
      <c r="R99" s="332">
        <v>70000.0</v>
      </c>
      <c r="S99" s="258"/>
      <c r="T99" s="258"/>
      <c r="U99" s="258"/>
      <c r="V99" s="258"/>
      <c r="W99" s="258"/>
      <c r="X99" s="258"/>
      <c r="Y99" s="258"/>
      <c r="Z99" s="258"/>
    </row>
    <row r="100" ht="15.0" customHeight="1">
      <c r="A100" s="221" t="s">
        <v>531</v>
      </c>
      <c r="B100" s="223">
        <v>1290000.0</v>
      </c>
      <c r="C100" s="223"/>
      <c r="D100" s="223"/>
      <c r="E100" s="223"/>
      <c r="F100" s="223">
        <v>225000.0</v>
      </c>
      <c r="G100" s="223"/>
      <c r="H100" s="223"/>
      <c r="I100" s="223"/>
      <c r="J100" s="223">
        <v>170000.0</v>
      </c>
      <c r="K100" s="223">
        <v>420000.0</v>
      </c>
      <c r="L100" s="223">
        <v>711750.0</v>
      </c>
      <c r="M100" s="223">
        <v>490000.0</v>
      </c>
      <c r="N100" s="244">
        <f t="shared" si="23"/>
        <v>3306750</v>
      </c>
      <c r="O100" s="330">
        <f t="shared" si="24"/>
        <v>275562.5</v>
      </c>
      <c r="Q100" s="31" t="s">
        <v>766</v>
      </c>
      <c r="R100" s="332">
        <v>55000.0</v>
      </c>
      <c r="S100" s="258"/>
      <c r="T100" s="258"/>
      <c r="U100" s="258"/>
      <c r="V100" s="258"/>
      <c r="W100" s="258"/>
      <c r="X100" s="258"/>
      <c r="Y100" s="258"/>
      <c r="Z100" s="258"/>
    </row>
    <row r="101" ht="15.0" customHeight="1">
      <c r="A101" s="226" t="s">
        <v>711</v>
      </c>
      <c r="B101" s="285">
        <f t="shared" ref="B101:M101" si="25">SUM(B97:B100)</f>
        <v>3980000</v>
      </c>
      <c r="C101" s="285">
        <f t="shared" si="25"/>
        <v>3415000</v>
      </c>
      <c r="D101" s="285">
        <f t="shared" si="25"/>
        <v>2730000</v>
      </c>
      <c r="E101" s="285">
        <f t="shared" si="25"/>
        <v>2715000</v>
      </c>
      <c r="F101" s="285">
        <f t="shared" si="25"/>
        <v>2345000</v>
      </c>
      <c r="G101" s="285">
        <f t="shared" si="25"/>
        <v>2280000</v>
      </c>
      <c r="H101" s="285">
        <f t="shared" si="25"/>
        <v>2595000</v>
      </c>
      <c r="I101" s="285">
        <f t="shared" si="25"/>
        <v>1795000</v>
      </c>
      <c r="J101" s="285">
        <f t="shared" si="25"/>
        <v>2045000</v>
      </c>
      <c r="K101" s="285">
        <f t="shared" si="25"/>
        <v>2460000</v>
      </c>
      <c r="L101" s="285">
        <f t="shared" si="25"/>
        <v>1636750</v>
      </c>
      <c r="M101" s="285">
        <f t="shared" si="25"/>
        <v>1755000</v>
      </c>
      <c r="N101" s="333">
        <f t="shared" si="23"/>
        <v>29751750</v>
      </c>
      <c r="O101" s="334">
        <f t="shared" si="24"/>
        <v>2479312.5</v>
      </c>
      <c r="Q101" s="331" t="s">
        <v>767</v>
      </c>
      <c r="R101" s="313">
        <f>R99+R100</f>
        <v>125000</v>
      </c>
      <c r="S101" s="258"/>
      <c r="T101" s="258"/>
      <c r="U101" s="258"/>
      <c r="V101" s="258"/>
      <c r="W101" s="258"/>
      <c r="X101" s="258"/>
      <c r="Y101" s="258"/>
      <c r="Z101" s="258"/>
    </row>
    <row r="102" ht="15.0" customHeight="1">
      <c r="A102" s="335" t="s">
        <v>768</v>
      </c>
      <c r="B102" s="336">
        <v>0.0</v>
      </c>
      <c r="C102" s="336">
        <v>480000.0</v>
      </c>
      <c r="D102" s="336">
        <v>560000.0</v>
      </c>
      <c r="E102" s="336">
        <v>560000.0</v>
      </c>
      <c r="F102" s="336">
        <v>240000.0</v>
      </c>
      <c r="G102" s="336">
        <v>240000.0</v>
      </c>
      <c r="H102" s="336">
        <v>480000.0</v>
      </c>
      <c r="I102" s="336">
        <v>460000.0</v>
      </c>
      <c r="J102" s="336">
        <v>490000.0</v>
      </c>
      <c r="K102" s="336">
        <v>270000.0</v>
      </c>
      <c r="L102" s="336">
        <f>L65</f>
        <v>500000</v>
      </c>
      <c r="M102" s="336">
        <v>400000.0</v>
      </c>
      <c r="N102" s="337">
        <f t="shared" si="23"/>
        <v>4680000</v>
      </c>
      <c r="O102" s="72">
        <f t="shared" si="24"/>
        <v>390000</v>
      </c>
      <c r="Q102" s="117"/>
      <c r="R102" s="117"/>
      <c r="S102" s="258"/>
      <c r="T102" s="258"/>
      <c r="U102" s="258"/>
      <c r="V102" s="258"/>
      <c r="W102" s="258"/>
      <c r="X102" s="258"/>
      <c r="Y102" s="258"/>
      <c r="Z102" s="258"/>
    </row>
    <row r="103" ht="15.0" customHeight="1">
      <c r="A103" s="338" t="s">
        <v>769</v>
      </c>
      <c r="B103" s="339">
        <f t="shared" ref="B103:M103" si="26">B101-B102</f>
        <v>3980000</v>
      </c>
      <c r="C103" s="339">
        <f t="shared" si="26"/>
        <v>2935000</v>
      </c>
      <c r="D103" s="339">
        <f t="shared" si="26"/>
        <v>2170000</v>
      </c>
      <c r="E103" s="339">
        <f t="shared" si="26"/>
        <v>2155000</v>
      </c>
      <c r="F103" s="339">
        <f t="shared" si="26"/>
        <v>2105000</v>
      </c>
      <c r="G103" s="339">
        <f t="shared" si="26"/>
        <v>2040000</v>
      </c>
      <c r="H103" s="339">
        <f t="shared" si="26"/>
        <v>2115000</v>
      </c>
      <c r="I103" s="339">
        <f t="shared" si="26"/>
        <v>1335000</v>
      </c>
      <c r="J103" s="339">
        <f t="shared" si="26"/>
        <v>1555000</v>
      </c>
      <c r="K103" s="339">
        <f t="shared" si="26"/>
        <v>2190000</v>
      </c>
      <c r="L103" s="339">
        <f t="shared" si="26"/>
        <v>1136750</v>
      </c>
      <c r="M103" s="339">
        <f t="shared" si="26"/>
        <v>1355000</v>
      </c>
      <c r="N103" s="340">
        <f t="shared" si="23"/>
        <v>25071750</v>
      </c>
      <c r="O103" s="199">
        <f t="shared" si="24"/>
        <v>2089312.5</v>
      </c>
      <c r="Q103" s="331" t="s">
        <v>770</v>
      </c>
      <c r="R103" s="104">
        <f>R101/4</f>
        <v>31250</v>
      </c>
      <c r="S103" s="258"/>
      <c r="T103" s="258"/>
      <c r="U103" s="258"/>
      <c r="V103" s="258"/>
      <c r="W103" s="258"/>
      <c r="X103" s="258"/>
      <c r="Y103" s="258"/>
      <c r="Z103" s="258"/>
    </row>
    <row r="104">
      <c r="A104" s="14"/>
      <c r="B104" s="270"/>
      <c r="C104" s="270"/>
      <c r="D104" s="270"/>
      <c r="E104" s="270"/>
      <c r="F104" s="270"/>
      <c r="G104" s="270"/>
      <c r="H104" s="270"/>
      <c r="I104" s="270"/>
      <c r="J104" s="341" t="s">
        <v>771</v>
      </c>
      <c r="K104" s="342"/>
      <c r="L104" s="343"/>
      <c r="M104" s="344">
        <f>M78+M80+M83</f>
        <v>990000</v>
      </c>
      <c r="N104" s="270"/>
      <c r="Q104" s="331" t="s">
        <v>772</v>
      </c>
      <c r="R104" s="313">
        <f>R101/5</f>
        <v>25000</v>
      </c>
      <c r="S104" s="258"/>
      <c r="T104" s="258"/>
      <c r="U104" s="258"/>
      <c r="V104" s="258"/>
      <c r="W104" s="258"/>
      <c r="X104" s="258"/>
      <c r="Y104" s="258"/>
      <c r="Z104" s="258"/>
    </row>
    <row r="105">
      <c r="J105" s="68" t="s">
        <v>713</v>
      </c>
      <c r="K105" s="345"/>
      <c r="L105" s="345"/>
      <c r="M105" s="105">
        <f>M103-M104</f>
        <v>365000</v>
      </c>
      <c r="N105" s="72">
        <f>N103-M104</f>
        <v>24081750</v>
      </c>
      <c r="O105" s="72">
        <f>N105/12</f>
        <v>2006812.5</v>
      </c>
      <c r="Q105" s="331" t="s">
        <v>773</v>
      </c>
      <c r="R105" s="104">
        <f>R101/6</f>
        <v>20833.33333</v>
      </c>
    </row>
    <row r="106">
      <c r="I106" s="346"/>
    </row>
    <row r="107">
      <c r="A107" s="174" t="s">
        <v>774</v>
      </c>
      <c r="B107" s="347"/>
      <c r="C107" s="175">
        <f t="shared" ref="C107:M107" si="27">C99-C102</f>
        <v>2425000</v>
      </c>
      <c r="D107" s="175">
        <f t="shared" si="27"/>
        <v>1660000</v>
      </c>
      <c r="E107" s="175">
        <f t="shared" si="27"/>
        <v>1645000</v>
      </c>
      <c r="F107" s="175">
        <f t="shared" si="27"/>
        <v>1370000</v>
      </c>
      <c r="G107" s="175">
        <f t="shared" si="27"/>
        <v>1510000</v>
      </c>
      <c r="H107" s="175">
        <f t="shared" si="27"/>
        <v>1585000</v>
      </c>
      <c r="I107" s="175">
        <f t="shared" si="27"/>
        <v>825000</v>
      </c>
      <c r="J107" s="175">
        <f t="shared" si="27"/>
        <v>875000</v>
      </c>
      <c r="K107" s="175">
        <f t="shared" si="27"/>
        <v>1270000</v>
      </c>
      <c r="L107" s="175">
        <f t="shared" si="27"/>
        <v>225000</v>
      </c>
      <c r="M107" s="175">
        <f t="shared" si="27"/>
        <v>370000</v>
      </c>
      <c r="O107" s="348">
        <f>SUM(C107:M107)/11</f>
        <v>1250909.091</v>
      </c>
      <c r="Q107" s="331" t="s">
        <v>775</v>
      </c>
      <c r="R107" s="313">
        <f t="shared" ref="R107:R108" si="28">R99*8</f>
        <v>560000</v>
      </c>
    </row>
    <row r="108">
      <c r="B108" s="72"/>
      <c r="Q108" s="331" t="s">
        <v>776</v>
      </c>
      <c r="R108" s="313">
        <f t="shared" si="28"/>
        <v>440000</v>
      </c>
    </row>
    <row r="109">
      <c r="B109" s="72"/>
      <c r="Q109" s="331" t="s">
        <v>777</v>
      </c>
      <c r="R109" s="313">
        <f>R107+R108</f>
        <v>1000000</v>
      </c>
    </row>
    <row r="110">
      <c r="B110" s="72"/>
      <c r="Q110" s="117"/>
      <c r="R110" s="117"/>
    </row>
    <row r="111">
      <c r="B111" s="72"/>
      <c r="Q111" s="331" t="s">
        <v>770</v>
      </c>
      <c r="R111" s="104">
        <f>R109/4</f>
        <v>250000</v>
      </c>
    </row>
    <row r="112">
      <c r="B112" s="72"/>
      <c r="Q112" s="331" t="s">
        <v>772</v>
      </c>
      <c r="R112" s="104">
        <f>R109/5</f>
        <v>200000</v>
      </c>
    </row>
    <row r="113">
      <c r="Q113" s="331" t="s">
        <v>773</v>
      </c>
      <c r="R113" s="104">
        <f>R109/6</f>
        <v>166666.6667</v>
      </c>
    </row>
  </sheetData>
  <dataValidations>
    <dataValidation type="custom" allowBlank="1" showDropDown="1" sqref="B5:L62 B77:L89 B97:L101">
      <formula1>AND(ISNUMBER(B5),(NOT(OR(NOT(ISERROR(DATEVALUE(B5))), AND(ISNUMBER(B5), LEFT(CELL("format", B5))="D")))))</formula1>
    </dataValidation>
  </dataValidations>
  <drawing r:id="rId4"/>
  <legacyDrawing r:id="rId5"/>
  <tableParts count="3">
    <tablePart r:id="rId9"/>
    <tablePart r:id="rId10"/>
    <tablePart r:id="rId11"/>
  </tableParts>
</worksheet>
</file>